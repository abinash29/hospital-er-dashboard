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bina\Desktop\Data Analytic\Excel\"/>
    </mc:Choice>
  </mc:AlternateContent>
  <xr:revisionPtr revIDLastSave="0" documentId="13_ncr:1_{C2E1A786-B182-455D-B876-685539CEE44F}" xr6:coauthVersionLast="47" xr6:coauthVersionMax="47" xr10:uidLastSave="{00000000-0000-0000-0000-000000000000}"/>
  <bookViews>
    <workbookView xWindow="-108" yWindow="-108" windowWidth="23256" windowHeight="12456" activeTab="1" xr2:uid="{4D6D1ADB-7B20-4731-8D97-2EC78DAF3C1E}"/>
  </bookViews>
  <sheets>
    <sheet name="Pivot Report" sheetId="1" r:id="rId1"/>
    <sheet name="Dashboard" sheetId="2" r:id="rId2"/>
    <sheet name="Satisfactory Avg chart" sheetId="5" r:id="rId3"/>
    <sheet name="Daily avg wait time trend" sheetId="4" r:id="rId4"/>
    <sheet name="Daily ER No of Patient" sheetId="3" r:id="rId5"/>
  </sheets>
  <definedNames>
    <definedName name="Slicer_Date__Month">#N/A</definedName>
    <definedName name="Slicer_Date__Year">#N/A</definedName>
  </definedNames>
  <calcPr calcId="191029"/>
  <pivotCaches>
    <pivotCache cacheId="771" r:id="rId6"/>
    <pivotCache cacheId="774" r:id="rId7"/>
    <pivotCache cacheId="777" r:id="rId8"/>
    <pivotCache cacheId="780" r:id="rId9"/>
    <pivotCache cacheId="783" r:id="rId10"/>
    <pivotCache cacheId="786" r:id="rId11"/>
    <pivotCache cacheId="789" r:id="rId12"/>
    <pivotCache cacheId="792" r:id="rId13"/>
    <pivotCache cacheId="795" r:id="rId14"/>
    <pivotCache cacheId="798" r:id="rId15"/>
    <pivotCache cacheId="801" r:id="rId16"/>
    <pivotCache cacheId="80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c8efd00-ec78-41b4-bebf-d0eb78488b21" name="Hospital Emergency Room Data" connection="Query - Hospital Emergency Room Data"/>
          <x15:modelTable id="Calendar_Table_cfa54ffb-a169-4fc6-8383-320915c2a9a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1" l="1"/>
  <c r="B41" i="1"/>
  <c r="A41" i="1"/>
  <c r="C40" i="1"/>
  <c r="B40" i="1"/>
  <c r="A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D6697F-B43D-498A-8248-A94A8819346D}" name="Query - Calendar_Table" description="Connection to the 'Calendar_Table' query in the workbook." type="100" refreshedVersion="8" minRefreshableVersion="5">
    <extLst>
      <ext xmlns:x15="http://schemas.microsoft.com/office/spreadsheetml/2010/11/main" uri="{DE250136-89BD-433C-8126-D09CA5730AF9}">
        <x15:connection id="b8a4412a-1d7d-4302-af7d-07fc2fafddfa"/>
      </ext>
    </extLst>
  </connection>
  <connection id="2" xr16:uid="{BDB3E20D-AD16-4034-94DC-AAFD0B26DF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f44adbf-8ee5-450d-8ad3-226397d94db6">
          <x15:oledbPr connection="Provider=Microsoft.Mashup.OleDb.1;Data Source=$Workbook$;Location=&quot;Hospital Emergency Room Data&quot;;Extended Properties=&quot;&quot;">
            <x15:dbTables>
              <x15:dbTable name="Hospital Emergency Room Data"/>
            </x15:dbTables>
          </x15:oledbPr>
        </x15:connection>
      </ext>
    </extLst>
  </connection>
  <connection id="3" xr16:uid="{32D1DB06-B340-4E8A-B100-4BAF6A47EC7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<sst xmlns="http://schemas.openxmlformats.org/spreadsheetml/2006/main" count="156" uniqueCount="74">
  <si>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Distinct Count of Patient Id</t>
  </si>
  <si>
    <t>No. of Patient</t>
  </si>
  <si>
    <t>Average of Patient Waittime</t>
  </si>
  <si>
    <t>Average of Patient Satisfaction Score</t>
  </si>
  <si>
    <t>Row Labels</t>
  </si>
  <si>
    <t>Grand Total</t>
  </si>
  <si>
    <t>Daily Trend of no of patient</t>
  </si>
  <si>
    <t>Avg wait time</t>
  </si>
  <si>
    <t>Admitted</t>
  </si>
  <si>
    <t>Not Admitted</t>
  </si>
  <si>
    <t>Count of Patient Admission Flag</t>
  </si>
  <si>
    <t>Count of Patient Admission Flag2</t>
  </si>
  <si>
    <t>Admission Status</t>
  </si>
  <si>
    <t>%Status</t>
  </si>
  <si>
    <t>0-0</t>
  </si>
  <si>
    <t>10-19</t>
  </si>
  <si>
    <t>20-29</t>
  </si>
  <si>
    <t>30-39</t>
  </si>
  <si>
    <t>40-49</t>
  </si>
  <si>
    <t>50-59</t>
  </si>
  <si>
    <t>60-69</t>
  </si>
  <si>
    <t>70-79</t>
  </si>
  <si>
    <t>Count of Age Group</t>
  </si>
  <si>
    <t>Age by group analysis</t>
  </si>
  <si>
    <t>Delay</t>
  </si>
  <si>
    <t>Ontime</t>
  </si>
  <si>
    <t>Count of Patient attend Status</t>
  </si>
  <si>
    <t>Attended Status</t>
  </si>
  <si>
    <t>Female</t>
  </si>
  <si>
    <t>Male</t>
  </si>
  <si>
    <t>Count of Patient Gender</t>
  </si>
  <si>
    <t>Gender Analysis</t>
  </si>
  <si>
    <t>Cardiology</t>
  </si>
  <si>
    <t>Gastroenterology</t>
  </si>
  <si>
    <t>General Practice</t>
  </si>
  <si>
    <t>Neurology</t>
  </si>
  <si>
    <t>None</t>
  </si>
  <si>
    <t>Orthopedics</t>
  </si>
  <si>
    <t>Physiotherapy</t>
  </si>
  <si>
    <t>Renal</t>
  </si>
  <si>
    <t>Count of Department Referral</t>
  </si>
  <si>
    <t>Depatmental Referal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</si>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</sst>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2" tint="-0.89999084444715716"/>
        <bgColor indexed="64"/>
      </patternFill>
    </fill>
    <fill>
      <patternFill patternType="solid">
        <fgColor theme="1"/>
        <bgColor indexed="64"/>
      </patternFill>
    </fill>
    <fill>
      <patternFill patternType="solid">
        <fgColor rgb="FF00B0F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0" fillId="5" borderId="0" xfId="0" applyFill="1"/>
    <xf numFmtId="0" fontId="0" fillId="6" borderId="0" xfId="0" applyFill="1"/>
    <xf numFmtId="0" fontId="0" fillId="5" borderId="0" xfId="0" applyFill="1" applyAlignment="1">
      <alignment horizontal="center"/>
    </xf>
    <xf numFmtId="0" fontId="0" fillId="6" borderId="0" xfId="0" applyFill="1" applyAlignment="1">
      <alignment horizontal="center"/>
    </xf>
    <xf numFmtId="2" fontId="0" fillId="6" borderId="0" xfId="0" applyNumberFormat="1" applyFill="1" applyAlignment="1">
      <alignment horizontal="center"/>
    </xf>
    <xf numFmtId="9" fontId="0" fillId="6" borderId="0" xfId="1" applyFont="1" applyFill="1" applyAlignment="1">
      <alignment horizontal="center"/>
    </xf>
    <xf numFmtId="0" fontId="0" fillId="0" borderId="0" xfId="0" applyNumberFormat="1"/>
  </cellXfs>
  <cellStyles count="2">
    <cellStyle name="Normal" xfId="0" builtinId="0"/>
    <cellStyle name="Percent" xfId="1" builtinId="5"/>
  </cellStyles>
  <dxfs count="255">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8"/>
        <color theme="1"/>
      </font>
      <fill>
        <patternFill>
          <bgColor theme="3"/>
        </patternFill>
      </fill>
      <border diagonalUp="0" diagonalDown="0">
        <left/>
        <right/>
        <top/>
        <bottom/>
        <vertical/>
        <horizontal/>
      </border>
    </dxf>
  </dxfs>
  <tableStyles count="1" defaultTableStyle="TableStyleMedium2" defaultPivotStyle="PivotStyleLight16">
    <tableStyle name="My Style" pivot="0" table="0" count="10" xr9:uid="{31A249DB-3A05-452C-8415-19EF8C504E76}">
      <tableStyleElement type="wholeTable" dxfId="254"/>
      <tableStyleElement type="headerRow" dxfId="25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bgColor theme="7"/>
            </patternFill>
          </fill>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108000" tIns="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B9F9939E-0D6F-4E79-A708-8EF5B7446DB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31B85923-0742-47A1-96DA-F66AED565F8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pivotFmt>
      <c:pivotFmt>
        <c:idx val="5"/>
      </c:pivotFmt>
    </c:pivotFmts>
    <c:plotArea>
      <c:layout>
        <c:manualLayout>
          <c:layoutTarget val="inner"/>
          <c:xMode val="edge"/>
          <c:yMode val="edge"/>
          <c:x val="0"/>
          <c:y val="0"/>
          <c:w val="1"/>
          <c:h val="1"/>
        </c:manualLayout>
      </c:layout>
      <c:barChart>
        <c:barDir val="bar"/>
        <c:grouping val="clustered"/>
        <c:varyColors val="0"/>
        <c:ser>
          <c:idx val="0"/>
          <c:order val="0"/>
          <c:tx>
            <c:strRef>
              <c:f>'Pivot Report'!$B$20</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108000" tIns="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Report'!$A$21:$A$23</c:f>
              <c:strCache>
                <c:ptCount val="2"/>
                <c:pt idx="0">
                  <c:v>Admitted</c:v>
                </c:pt>
                <c:pt idx="1">
                  <c:v>Not Admitted</c:v>
                </c:pt>
              </c:strCache>
            </c:strRef>
          </c:cat>
          <c:val>
            <c:numRef>
              <c:f>'Pivot Report'!$B$21:$B$23</c:f>
              <c:numCache>
                <c:formatCode>0.00</c:formatCode>
                <c:ptCount val="2"/>
                <c:pt idx="0">
                  <c:v>229</c:v>
                </c:pt>
                <c:pt idx="1">
                  <c:v>251</c:v>
                </c:pt>
              </c:numCache>
            </c:numRef>
          </c:val>
          <c:extLst>
            <c:ext xmlns:c16="http://schemas.microsoft.com/office/drawing/2014/chart" uri="{C3380CC4-5D6E-409C-BE32-E72D297353CC}">
              <c16:uniqueId val="{0000000A-35D1-4317-B731-4ED3FEA9AE2A}"/>
            </c:ext>
          </c:extLst>
        </c:ser>
        <c:ser>
          <c:idx val="1"/>
          <c:order val="1"/>
          <c:tx>
            <c:strRef>
              <c:f>'Pivot Report'!$C$20</c:f>
              <c:strCache>
                <c:ptCount val="1"/>
                <c:pt idx="0">
                  <c:v>Count of Patient Admission Flag2</c:v>
                </c:pt>
              </c:strCache>
            </c:strRef>
          </c:tx>
          <c:spPr>
            <a:solidFill>
              <a:schemeClr val="accent2"/>
            </a:solidFill>
            <a:ln>
              <a:noFill/>
            </a:ln>
            <a:effectLst/>
          </c:spPr>
          <c:invertIfNegative val="0"/>
          <c:cat>
            <c:strRef>
              <c:f>'Pivot Report'!$A$21:$A$23</c:f>
              <c:strCache>
                <c:ptCount val="2"/>
                <c:pt idx="0">
                  <c:v>Admitted</c:v>
                </c:pt>
                <c:pt idx="1">
                  <c:v>Not Admitted</c:v>
                </c:pt>
              </c:strCache>
            </c:strRef>
          </c:cat>
          <c:val>
            <c:numRef>
              <c:f>'Pivot Report'!$C$21:$C$23</c:f>
              <c:numCache>
                <c:formatCode>0.00%</c:formatCode>
                <c:ptCount val="2"/>
                <c:pt idx="0">
                  <c:v>0.47708333333333336</c:v>
                </c:pt>
                <c:pt idx="1">
                  <c:v>0.5229166666666667</c:v>
                </c:pt>
              </c:numCache>
            </c:numRef>
          </c:val>
          <c:extLst>
            <c:ext xmlns:c16="http://schemas.microsoft.com/office/drawing/2014/chart" uri="{C3380CC4-5D6E-409C-BE32-E72D297353CC}">
              <c16:uniqueId val="{0000000B-35D1-4317-B731-4ED3FEA9AE2A}"/>
            </c:ext>
          </c:extLst>
        </c:ser>
        <c:dLbls>
          <c:showLegendKey val="0"/>
          <c:showVal val="0"/>
          <c:showCatName val="0"/>
          <c:showSerName val="0"/>
          <c:showPercent val="0"/>
          <c:showBubbleSize val="0"/>
        </c:dLbls>
        <c:gapWidth val="182"/>
        <c:axId val="183885583"/>
        <c:axId val="183886063"/>
      </c:barChart>
      <c:catAx>
        <c:axId val="183885583"/>
        <c:scaling>
          <c:orientation val="minMax"/>
        </c:scaling>
        <c:delete val="1"/>
        <c:axPos val="l"/>
        <c:numFmt formatCode="General" sourceLinked="1"/>
        <c:majorTickMark val="none"/>
        <c:minorTickMark val="none"/>
        <c:tickLblPos val="nextTo"/>
        <c:crossAx val="183886063"/>
        <c:crosses val="autoZero"/>
        <c:auto val="1"/>
        <c:lblAlgn val="ctr"/>
        <c:lblOffset val="100"/>
        <c:noMultiLvlLbl val="0"/>
      </c:catAx>
      <c:valAx>
        <c:axId val="183886063"/>
        <c:scaling>
          <c:orientation val="minMax"/>
        </c:scaling>
        <c:delete val="1"/>
        <c:axPos val="b"/>
        <c:numFmt formatCode="0.00" sourceLinked="1"/>
        <c:majorTickMark val="none"/>
        <c:minorTickMark val="none"/>
        <c:tickLblPos val="nextTo"/>
        <c:crossAx val="18388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410774840364036"/>
          <c:h val="0.9796740172579097"/>
        </c:manualLayout>
      </c:layout>
      <c:areaChart>
        <c:grouping val="standard"/>
        <c:varyColors val="0"/>
        <c:ser>
          <c:idx val="0"/>
          <c:order val="0"/>
          <c:tx>
            <c:strRef>
              <c:f>'Pivot Report'!$E$4</c:f>
              <c:strCache>
                <c:ptCount val="1"/>
                <c:pt idx="0">
                  <c:v>Total</c:v>
                </c:pt>
              </c:strCache>
            </c:strRef>
          </c:tx>
          <c:spPr>
            <a:solidFill>
              <a:srgbClr val="0070C0"/>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5-5C99-4BC7-B91A-9D4ECAAE1EB8}"/>
            </c:ext>
          </c:extLst>
        </c:ser>
        <c:dLbls>
          <c:showLegendKey val="0"/>
          <c:showVal val="0"/>
          <c:showCatName val="0"/>
          <c:showSerName val="0"/>
          <c:showPercent val="0"/>
          <c:showBubbleSize val="0"/>
        </c:dLbls>
        <c:axId val="1928269120"/>
        <c:axId val="1928269600"/>
      </c:areaChart>
      <c:catAx>
        <c:axId val="1928269120"/>
        <c:scaling>
          <c:orientation val="minMax"/>
        </c:scaling>
        <c:delete val="1"/>
        <c:axPos val="b"/>
        <c:numFmt formatCode="General" sourceLinked="1"/>
        <c:majorTickMark val="out"/>
        <c:minorTickMark val="none"/>
        <c:tickLblPos val="nextTo"/>
        <c:crossAx val="1928269600"/>
        <c:crosses val="autoZero"/>
        <c:auto val="1"/>
        <c:lblAlgn val="ctr"/>
        <c:lblOffset val="100"/>
        <c:noMultiLvlLbl val="0"/>
      </c:catAx>
      <c:valAx>
        <c:axId val="1928269600"/>
        <c:scaling>
          <c:orientation val="minMax"/>
        </c:scaling>
        <c:delete val="1"/>
        <c:axPos val="l"/>
        <c:numFmt formatCode="General" sourceLinked="1"/>
        <c:majorTickMark val="none"/>
        <c:minorTickMark val="none"/>
        <c:tickLblPos val="nextTo"/>
        <c:crossAx val="1928269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9715982116143936E-2"/>
          <c:w val="0.92905513906623327"/>
          <c:h val="0.8817722676852835"/>
        </c:manualLayout>
      </c:layout>
      <c:areaChart>
        <c:grouping val="standard"/>
        <c:varyColors val="0"/>
        <c:ser>
          <c:idx val="0"/>
          <c:order val="0"/>
          <c:tx>
            <c:strRef>
              <c:f>'Pivot Report'!$H$4</c:f>
              <c:strCache>
                <c:ptCount val="1"/>
                <c:pt idx="0">
                  <c:v>Total</c:v>
                </c:pt>
              </c:strCache>
            </c:strRef>
          </c:tx>
          <c:spPr>
            <a:solidFill>
              <a:srgbClr val="0070C0"/>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5-7765-47E2-AB07-05419C8C36DA}"/>
            </c:ext>
          </c:extLst>
        </c:ser>
        <c:dLbls>
          <c:showLegendKey val="0"/>
          <c:showVal val="0"/>
          <c:showCatName val="0"/>
          <c:showSerName val="0"/>
          <c:showPercent val="0"/>
          <c:showBubbleSize val="0"/>
        </c:dLbls>
        <c:axId val="886321840"/>
        <c:axId val="886319440"/>
      </c:areaChart>
      <c:catAx>
        <c:axId val="886321840"/>
        <c:scaling>
          <c:orientation val="minMax"/>
        </c:scaling>
        <c:delete val="1"/>
        <c:axPos val="b"/>
        <c:numFmt formatCode="General" sourceLinked="1"/>
        <c:majorTickMark val="out"/>
        <c:minorTickMark val="none"/>
        <c:tickLblPos val="nextTo"/>
        <c:crossAx val="886319440"/>
        <c:crosses val="autoZero"/>
        <c:auto val="1"/>
        <c:lblAlgn val="ctr"/>
        <c:lblOffset val="100"/>
        <c:noMultiLvlLbl val="0"/>
      </c:catAx>
      <c:valAx>
        <c:axId val="886319440"/>
        <c:scaling>
          <c:orientation val="minMax"/>
        </c:scaling>
        <c:delete val="1"/>
        <c:axPos val="l"/>
        <c:numFmt formatCode="0.00" sourceLinked="1"/>
        <c:majorTickMark val="none"/>
        <c:minorTickMark val="none"/>
        <c:tickLblPos val="nextTo"/>
        <c:crossAx val="886321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78539606970762E-3"/>
          <c:y val="0"/>
          <c:w val="0.99250214603930298"/>
          <c:h val="1"/>
        </c:manualLayout>
      </c:layout>
      <c:areaChart>
        <c:grouping val="standard"/>
        <c:varyColors val="0"/>
        <c:ser>
          <c:idx val="0"/>
          <c:order val="0"/>
          <c:tx>
            <c:strRef>
              <c:f>'Pivot Report'!$K$4</c:f>
              <c:strCache>
                <c:ptCount val="1"/>
                <c:pt idx="0">
                  <c:v>Total</c:v>
                </c:pt>
              </c:strCache>
            </c:strRef>
          </c:tx>
          <c:spPr>
            <a:solidFill>
              <a:srgbClr val="0070C0"/>
            </a:solidFill>
            <a:ln w="25400">
              <a:noFill/>
            </a:ln>
            <a:effectLst/>
          </c:spPr>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5-7D58-4FE1-80A5-8410127E79D9}"/>
            </c:ext>
          </c:extLst>
        </c:ser>
        <c:dLbls>
          <c:showLegendKey val="0"/>
          <c:showVal val="0"/>
          <c:showCatName val="0"/>
          <c:showSerName val="0"/>
          <c:showPercent val="0"/>
          <c:showBubbleSize val="0"/>
        </c:dLbls>
        <c:axId val="2115584048"/>
        <c:axId val="2115582608"/>
      </c:areaChart>
      <c:catAx>
        <c:axId val="2115584048"/>
        <c:scaling>
          <c:orientation val="minMax"/>
        </c:scaling>
        <c:delete val="1"/>
        <c:axPos val="b"/>
        <c:numFmt formatCode="General" sourceLinked="1"/>
        <c:majorTickMark val="out"/>
        <c:minorTickMark val="none"/>
        <c:tickLblPos val="nextTo"/>
        <c:crossAx val="2115582608"/>
        <c:crosses val="autoZero"/>
        <c:auto val="1"/>
        <c:lblAlgn val="ctr"/>
        <c:lblOffset val="100"/>
        <c:noMultiLvlLbl val="0"/>
      </c:catAx>
      <c:valAx>
        <c:axId val="2115582608"/>
        <c:scaling>
          <c:orientation val="minMax"/>
        </c:scaling>
        <c:delete val="1"/>
        <c:axPos val="l"/>
        <c:numFmt formatCode="0.00" sourceLinked="1"/>
        <c:majorTickMark val="none"/>
        <c:minorTickMark val="none"/>
        <c:tickLblPos val="nextTo"/>
        <c:crossAx val="211558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1574876057159527"/>
        </c:manualLayout>
      </c:layout>
      <c:barChart>
        <c:barDir val="col"/>
        <c:grouping val="clustered"/>
        <c:varyColors val="0"/>
        <c:ser>
          <c:idx val="0"/>
          <c:order val="0"/>
          <c:tx>
            <c:strRef>
              <c:f>'Pivot Report'!$B$43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Report'!$A$44:$A$52</c:f>
              <c:strCache>
                <c:ptCount val="8"/>
                <c:pt idx="0">
                  <c:v>0-0</c:v>
                </c:pt>
                <c:pt idx="1">
                  <c:v>10-19</c:v>
                </c:pt>
                <c:pt idx="2">
                  <c:v>20-29</c:v>
                </c:pt>
                <c:pt idx="3">
                  <c:v>30-39</c:v>
                </c:pt>
                <c:pt idx="4">
                  <c:v>40-49</c:v>
                </c:pt>
                <c:pt idx="5">
                  <c:v>50-59</c:v>
                </c:pt>
                <c:pt idx="6">
                  <c:v>60-69</c:v>
                </c:pt>
                <c:pt idx="7">
                  <c:v>70-79</c:v>
                </c:pt>
              </c:strCache>
            </c:strRef>
          </c:cat>
          <c:val>
            <c:numRef>
              <c:f>'Pivot Report'!$B$44:$B$52</c:f>
              <c:numCache>
                <c:formatCode>0.00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5-348E-47DF-9F5A-06985BFAA6F9}"/>
            </c:ext>
          </c:extLst>
        </c:ser>
        <c:dLbls>
          <c:showLegendKey val="0"/>
          <c:showVal val="0"/>
          <c:showCatName val="0"/>
          <c:showSerName val="0"/>
          <c:showPercent val="0"/>
          <c:showBubbleSize val="0"/>
        </c:dLbls>
        <c:gapWidth val="219"/>
        <c:overlap val="-27"/>
        <c:axId val="177295935"/>
        <c:axId val="177296415"/>
      </c:barChart>
      <c:catAx>
        <c:axId val="17729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6415"/>
        <c:crosses val="autoZero"/>
        <c:auto val="1"/>
        <c:lblAlgn val="ctr"/>
        <c:lblOffset val="100"/>
        <c:noMultiLvlLbl val="0"/>
      </c:catAx>
      <c:valAx>
        <c:axId val="177296415"/>
        <c:scaling>
          <c:orientation val="minMax"/>
        </c:scaling>
        <c:delete val="1"/>
        <c:axPos val="l"/>
        <c:numFmt formatCode="0.00" sourceLinked="1"/>
        <c:majorTickMark val="none"/>
        <c:minorTickMark val="none"/>
        <c:tickLblPos val="nextTo"/>
        <c:crossAx val="17729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Report!PivotTable5</c:name>
    <c:fmtId val="40"/>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02179375294516"/>
          <c:y val="0.12853110203547802"/>
          <c:w val="0.41126501074292021"/>
          <c:h val="0.75282480377792704"/>
        </c:manualLayout>
      </c:layout>
      <c:pieChart>
        <c:varyColors val="1"/>
        <c:ser>
          <c:idx val="0"/>
          <c:order val="0"/>
          <c:tx>
            <c:strRef>
              <c:f>'Pivot Report'!$B$56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Report'!$A$57:$A$59</c:f>
              <c:strCache>
                <c:ptCount val="2"/>
                <c:pt idx="0">
                  <c:v>Delay</c:v>
                </c:pt>
                <c:pt idx="1">
                  <c:v>Ontime</c:v>
                </c:pt>
              </c:strCache>
            </c:strRef>
          </c:cat>
          <c:val>
            <c:numRef>
              <c:f>'Pivot Report'!$B$57:$B$59</c:f>
              <c:numCache>
                <c:formatCode>0.00</c:formatCode>
                <c:ptCount val="2"/>
                <c:pt idx="0">
                  <c:v>267</c:v>
                </c:pt>
                <c:pt idx="1">
                  <c:v>213</c:v>
                </c:pt>
              </c:numCache>
            </c:numRef>
          </c:val>
          <c:extLst>
            <c:ext xmlns:c16="http://schemas.microsoft.com/office/drawing/2014/chart" uri="{C3380CC4-5D6E-409C-BE32-E72D297353CC}">
              <c16:uniqueId val="{00000009-6FCF-4A26-8215-80A30B7580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07514770451951"/>
          <c:y val="2.5897218251717501E-3"/>
          <c:w val="0.34121530240937414"/>
          <c:h val="0.1132413295059153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Report!PivotTable10</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8.5662226186237714E-2"/>
          <c:y val="0.21406719237673577"/>
          <c:w val="0.56651060380893825"/>
          <c:h val="0.65486441006509111"/>
        </c:manualLayout>
      </c:layout>
      <c:doughnutChart>
        <c:varyColors val="1"/>
        <c:ser>
          <c:idx val="0"/>
          <c:order val="0"/>
          <c:tx>
            <c:strRef>
              <c:f>'Pivot Report'!$B$64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Female</c:v>
                </c:pt>
                <c:pt idx="1">
                  <c:v>Male</c:v>
                </c:pt>
              </c:strCache>
            </c:strRef>
          </c:cat>
          <c:val>
            <c:numRef>
              <c:f>'Pivot Report'!$B$65:$B$67</c:f>
              <c:numCache>
                <c:formatCode>0.00</c:formatCode>
                <c:ptCount val="2"/>
                <c:pt idx="0">
                  <c:v>261</c:v>
                </c:pt>
                <c:pt idx="1">
                  <c:v>219</c:v>
                </c:pt>
              </c:numCache>
            </c:numRef>
          </c:val>
          <c:extLst>
            <c:ext xmlns:c16="http://schemas.microsoft.com/office/drawing/2014/chart" uri="{C3380CC4-5D6E-409C-BE32-E72D297353CC}">
              <c16:uniqueId val="{00000009-12F9-431E-816B-BD8D4522F17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7775271915125787E-2"/>
          <c:y val="8.9808975076174288E-2"/>
          <c:w val="0.61326141399510792"/>
          <c:h val="9.317682938949831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Report!PivotTable11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62754912644148"/>
          <c:y val="0"/>
          <c:w val="0.52586162654837887"/>
          <c:h val="0.84901989922051257"/>
        </c:manualLayout>
      </c:layout>
      <c:barChart>
        <c:barDir val="bar"/>
        <c:grouping val="clustered"/>
        <c:varyColors val="0"/>
        <c:ser>
          <c:idx val="0"/>
          <c:order val="0"/>
          <c:tx>
            <c:strRef>
              <c:f>'Pivot Report'!$B$71</c:f>
              <c:strCache>
                <c:ptCount val="1"/>
                <c:pt idx="0">
                  <c:v>Total</c:v>
                </c:pt>
              </c:strCache>
            </c:strRef>
          </c:tx>
          <c:spPr>
            <a:solidFill>
              <a:schemeClr val="accent1"/>
            </a:solidFill>
            <a:ln>
              <a:solidFill>
                <a:schemeClr val="accent1">
                  <a:alpha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Report'!$A$72:$A$80</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Report'!$B$72:$B$80</c:f>
              <c:numCache>
                <c:formatCode>0.00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5-F900-48EF-83E0-08F8DBB93751}"/>
            </c:ext>
          </c:extLst>
        </c:ser>
        <c:dLbls>
          <c:showLegendKey val="0"/>
          <c:showVal val="0"/>
          <c:showCatName val="0"/>
          <c:showSerName val="0"/>
          <c:showPercent val="0"/>
          <c:showBubbleSize val="0"/>
        </c:dLbls>
        <c:gapWidth val="182"/>
        <c:axId val="194950016"/>
        <c:axId val="194933696"/>
      </c:barChart>
      <c:catAx>
        <c:axId val="19495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933696"/>
        <c:crosses val="autoZero"/>
        <c:auto val="1"/>
        <c:lblAlgn val="ctr"/>
        <c:lblOffset val="100"/>
        <c:noMultiLvlLbl val="0"/>
      </c:catAx>
      <c:valAx>
        <c:axId val="194933696"/>
        <c:scaling>
          <c:orientation val="minMax"/>
        </c:scaling>
        <c:delete val="1"/>
        <c:axPos val="b"/>
        <c:numFmt formatCode="0.00" sourceLinked="1"/>
        <c:majorTickMark val="none"/>
        <c:minorTickMark val="none"/>
        <c:tickLblPos val="nextTo"/>
        <c:crossAx val="19495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Report!PivotTable7</c:name>
    <c:fmtId val="29"/>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5-64EE-4DBC-8BE3-5EE9458837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5584048"/>
        <c:axId val="2115582608"/>
      </c:areaChart>
      <c:catAx>
        <c:axId val="21155840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5582608"/>
        <c:crosses val="autoZero"/>
        <c:auto val="1"/>
        <c:lblAlgn val="ctr"/>
        <c:lblOffset val="100"/>
        <c:noMultiLvlLbl val="0"/>
      </c:catAx>
      <c:valAx>
        <c:axId val="2115582608"/>
        <c:scaling>
          <c:orientation val="minMax"/>
        </c:scaling>
        <c:delete val="1"/>
        <c:axPos val="l"/>
        <c:numFmt formatCode="0.00" sourceLinked="1"/>
        <c:majorTickMark val="out"/>
        <c:minorTickMark val="none"/>
        <c:tickLblPos val="nextTo"/>
        <c:crossAx val="211558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43480211202474E-2"/>
          <c:y val="8.8958221513617028E-2"/>
          <c:w val="0.87136001749781278"/>
          <c:h val="0.76505540974044917"/>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5-9A03-494B-B47B-58CF7A9FE92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86321840"/>
        <c:axId val="886319440"/>
      </c:areaChart>
      <c:catAx>
        <c:axId val="8863218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6319440"/>
        <c:crosses val="autoZero"/>
        <c:auto val="1"/>
        <c:lblAlgn val="ctr"/>
        <c:lblOffset val="100"/>
        <c:noMultiLvlLbl val="0"/>
      </c:catAx>
      <c:valAx>
        <c:axId val="886319440"/>
        <c:scaling>
          <c:orientation val="minMax"/>
        </c:scaling>
        <c:delete val="1"/>
        <c:axPos val="l"/>
        <c:numFmt formatCode="0.00" sourceLinked="1"/>
        <c:majorTickMark val="out"/>
        <c:minorTickMark val="none"/>
        <c:tickLblPos val="nextTo"/>
        <c:crossAx val="886321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Management Dashboard.xlsx]Pivot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92161879817265E-2"/>
          <c:y val="6.3734111545160066E-2"/>
          <c:w val="0.94049436619182947"/>
          <c:h val="0.85663790200837686"/>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5-B819-4F63-8F4B-F16E292A9E0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8269120"/>
        <c:axId val="1928269600"/>
      </c:areaChart>
      <c:catAx>
        <c:axId val="19282691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8269600"/>
        <c:crosses val="autoZero"/>
        <c:auto val="1"/>
        <c:lblAlgn val="ctr"/>
        <c:lblOffset val="100"/>
        <c:noMultiLvlLbl val="0"/>
      </c:catAx>
      <c:valAx>
        <c:axId val="1928269600"/>
        <c:scaling>
          <c:orientation val="minMax"/>
        </c:scaling>
        <c:delete val="1"/>
        <c:axPos val="l"/>
        <c:numFmt formatCode="General" sourceLinked="1"/>
        <c:majorTickMark val="out"/>
        <c:minorTickMark val="none"/>
        <c:tickLblPos val="nextTo"/>
        <c:crossAx val="1928269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ory Avg chart'!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avg wait time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281940</xdr:colOff>
      <xdr:row>38</xdr:row>
      <xdr:rowOff>152400</xdr:rowOff>
    </xdr:from>
    <xdr:to>
      <xdr:col>3</xdr:col>
      <xdr:colOff>1379220</xdr:colOff>
      <xdr:row>41</xdr:row>
      <xdr:rowOff>22860</xdr:rowOff>
    </xdr:to>
    <xdr:graphicFrame macro="">
      <xdr:nvGraphicFramePr>
        <xdr:cNvPr id="6" name="Chart 5">
          <a:extLst>
            <a:ext uri="{FF2B5EF4-FFF2-40B4-BE49-F238E27FC236}">
              <a16:creationId xmlns:a16="http://schemas.microsoft.com/office/drawing/2014/main" id="{8C00C2E9-4080-2213-C7A0-AB457CEAA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95793</xdr:colOff>
      <xdr:row>5</xdr:row>
      <xdr:rowOff>82729</xdr:rowOff>
    </xdr:from>
    <xdr:to>
      <xdr:col>6</xdr:col>
      <xdr:colOff>378823</xdr:colOff>
      <xdr:row>7</xdr:row>
      <xdr:rowOff>143690</xdr:rowOff>
    </xdr:to>
    <xdr:sp macro="" textlink="">
      <xdr:nvSpPr>
        <xdr:cNvPr id="4" name="Rectangle: Rounded Corners 3">
          <a:extLst>
            <a:ext uri="{FF2B5EF4-FFF2-40B4-BE49-F238E27FC236}">
              <a16:creationId xmlns:a16="http://schemas.microsoft.com/office/drawing/2014/main" id="{757AA01E-89F0-D105-66DA-FBD0D9DE3613}"/>
            </a:ext>
          </a:extLst>
        </xdr:cNvPr>
        <xdr:cNvSpPr/>
      </xdr:nvSpPr>
      <xdr:spPr>
        <a:xfrm>
          <a:off x="95793" y="997129"/>
          <a:ext cx="3940630" cy="426721"/>
        </a:xfrm>
        <a:prstGeom prst="roundRect">
          <a:avLst>
            <a:gd name="adj" fmla="val 199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5</xdr:row>
      <xdr:rowOff>87084</xdr:rowOff>
    </xdr:from>
    <xdr:to>
      <xdr:col>8</xdr:col>
      <xdr:colOff>283028</xdr:colOff>
      <xdr:row>7</xdr:row>
      <xdr:rowOff>139337</xdr:rowOff>
    </xdr:to>
    <xdr:sp macro="" textlink="">
      <xdr:nvSpPr>
        <xdr:cNvPr id="5" name="Rectangle: Rounded Corners 4">
          <a:extLst>
            <a:ext uri="{FF2B5EF4-FFF2-40B4-BE49-F238E27FC236}">
              <a16:creationId xmlns:a16="http://schemas.microsoft.com/office/drawing/2014/main" id="{45065DD3-1875-C715-BF5D-15C819EDDBC3}"/>
            </a:ext>
          </a:extLst>
        </xdr:cNvPr>
        <xdr:cNvSpPr/>
      </xdr:nvSpPr>
      <xdr:spPr>
        <a:xfrm>
          <a:off x="4145280" y="1001484"/>
          <a:ext cx="1014548" cy="418013"/>
        </a:xfrm>
        <a:prstGeom prst="roundRect">
          <a:avLst>
            <a:gd name="adj" fmla="val 83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291738</xdr:colOff>
      <xdr:row>5</xdr:row>
      <xdr:rowOff>74023</xdr:rowOff>
    </xdr:from>
    <xdr:to>
      <xdr:col>12</xdr:col>
      <xdr:colOff>226424</xdr:colOff>
      <xdr:row>12</xdr:row>
      <xdr:rowOff>74023</xdr:rowOff>
    </xdr:to>
    <xdr:sp macro="" textlink="">
      <xdr:nvSpPr>
        <xdr:cNvPr id="6" name="Rectangle: Rounded Corners 5">
          <a:extLst>
            <a:ext uri="{FF2B5EF4-FFF2-40B4-BE49-F238E27FC236}">
              <a16:creationId xmlns:a16="http://schemas.microsoft.com/office/drawing/2014/main" id="{240C47A9-A40F-EB8F-5D67-DB8EB31A3C26}"/>
            </a:ext>
          </a:extLst>
        </xdr:cNvPr>
        <xdr:cNvSpPr/>
      </xdr:nvSpPr>
      <xdr:spPr>
        <a:xfrm>
          <a:off x="6387738" y="988423"/>
          <a:ext cx="1153886" cy="1280160"/>
        </a:xfrm>
        <a:prstGeom prst="roundRect">
          <a:avLst>
            <a:gd name="adj" fmla="val 36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339634</xdr:colOff>
      <xdr:row>5</xdr:row>
      <xdr:rowOff>74023</xdr:rowOff>
    </xdr:from>
    <xdr:to>
      <xdr:col>10</xdr:col>
      <xdr:colOff>248194</xdr:colOff>
      <xdr:row>12</xdr:row>
      <xdr:rowOff>82731</xdr:rowOff>
    </xdr:to>
    <xdr:sp macro="" textlink="">
      <xdr:nvSpPr>
        <xdr:cNvPr id="7" name="Rectangle: Rounded Corners 6">
          <a:extLst>
            <a:ext uri="{FF2B5EF4-FFF2-40B4-BE49-F238E27FC236}">
              <a16:creationId xmlns:a16="http://schemas.microsoft.com/office/drawing/2014/main" id="{0F729112-C3B9-4F97-C4DB-6672C99B2E91}"/>
            </a:ext>
          </a:extLst>
        </xdr:cNvPr>
        <xdr:cNvSpPr/>
      </xdr:nvSpPr>
      <xdr:spPr>
        <a:xfrm>
          <a:off x="5216434" y="978898"/>
          <a:ext cx="1127760" cy="1275533"/>
        </a:xfrm>
        <a:prstGeom prst="roundRect">
          <a:avLst>
            <a:gd name="adj" fmla="val 41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82732</xdr:colOff>
      <xdr:row>5</xdr:row>
      <xdr:rowOff>84915</xdr:rowOff>
    </xdr:from>
    <xdr:to>
      <xdr:col>1</xdr:col>
      <xdr:colOff>222069</xdr:colOff>
      <xdr:row>7</xdr:row>
      <xdr:rowOff>134983</xdr:rowOff>
    </xdr:to>
    <xdr:pic>
      <xdr:nvPicPr>
        <xdr:cNvPr id="10" name="Picture 9">
          <a:extLst>
            <a:ext uri="{FF2B5EF4-FFF2-40B4-BE49-F238E27FC236}">
              <a16:creationId xmlns:a16="http://schemas.microsoft.com/office/drawing/2014/main" id="{6D0DF6E9-4304-354D-24B5-0C3D7599D7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r="-7501"/>
        <a:stretch>
          <a:fillRect/>
        </a:stretch>
      </xdr:blipFill>
      <xdr:spPr>
        <a:xfrm>
          <a:off x="82732" y="999315"/>
          <a:ext cx="748937" cy="415828"/>
        </a:xfrm>
        <a:prstGeom prst="rect">
          <a:avLst/>
        </a:prstGeom>
      </xdr:spPr>
    </xdr:pic>
    <xdr:clientData/>
  </xdr:twoCellAnchor>
  <xdr:twoCellAnchor>
    <xdr:from>
      <xdr:col>0</xdr:col>
      <xdr:colOff>113210</xdr:colOff>
      <xdr:row>8</xdr:row>
      <xdr:rowOff>26126</xdr:rowOff>
    </xdr:from>
    <xdr:to>
      <xdr:col>1</xdr:col>
      <xdr:colOff>65314</xdr:colOff>
      <xdr:row>20</xdr:row>
      <xdr:rowOff>161110</xdr:rowOff>
    </xdr:to>
    <xdr:sp macro="" textlink="">
      <xdr:nvSpPr>
        <xdr:cNvPr id="11" name="Rectangle: Rounded Corners 10">
          <a:extLst>
            <a:ext uri="{FF2B5EF4-FFF2-40B4-BE49-F238E27FC236}">
              <a16:creationId xmlns:a16="http://schemas.microsoft.com/office/drawing/2014/main" id="{5CB7295B-7EFE-6B88-6DEF-B18A119082D0}"/>
            </a:ext>
          </a:extLst>
        </xdr:cNvPr>
        <xdr:cNvSpPr/>
      </xdr:nvSpPr>
      <xdr:spPr>
        <a:xfrm>
          <a:off x="113210" y="1489166"/>
          <a:ext cx="561704" cy="2329544"/>
        </a:xfrm>
        <a:prstGeom prst="roundRect">
          <a:avLst>
            <a:gd name="adj" fmla="val 36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3</xdr:col>
      <xdr:colOff>378823</xdr:colOff>
      <xdr:row>8</xdr:row>
      <xdr:rowOff>13063</xdr:rowOff>
    </xdr:from>
    <xdr:to>
      <xdr:col>6</xdr:col>
      <xdr:colOff>17416</xdr:colOff>
      <xdr:row>12</xdr:row>
      <xdr:rowOff>165463</xdr:rowOff>
    </xdr:to>
    <xdr:sp macro="" textlink="">
      <xdr:nvSpPr>
        <xdr:cNvPr id="12" name="Rectangle: Rounded Corners 11">
          <a:extLst>
            <a:ext uri="{FF2B5EF4-FFF2-40B4-BE49-F238E27FC236}">
              <a16:creationId xmlns:a16="http://schemas.microsoft.com/office/drawing/2014/main" id="{B7CCE6BA-BCD3-2ED4-028A-559907AA4678}"/>
            </a:ext>
          </a:extLst>
        </xdr:cNvPr>
        <xdr:cNvSpPr/>
      </xdr:nvSpPr>
      <xdr:spPr>
        <a:xfrm>
          <a:off x="2207623" y="1476103"/>
          <a:ext cx="1467393" cy="883920"/>
        </a:xfrm>
        <a:prstGeom prst="roundRect">
          <a:avLst>
            <a:gd name="adj" fmla="val 35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91441</xdr:colOff>
      <xdr:row>8</xdr:row>
      <xdr:rowOff>13064</xdr:rowOff>
    </xdr:from>
    <xdr:to>
      <xdr:col>8</xdr:col>
      <xdr:colOff>287383</xdr:colOff>
      <xdr:row>12</xdr:row>
      <xdr:rowOff>165463</xdr:rowOff>
    </xdr:to>
    <xdr:sp macro="" textlink="">
      <xdr:nvSpPr>
        <xdr:cNvPr id="13" name="Rectangle: Rounded Corners 12">
          <a:extLst>
            <a:ext uri="{FF2B5EF4-FFF2-40B4-BE49-F238E27FC236}">
              <a16:creationId xmlns:a16="http://schemas.microsoft.com/office/drawing/2014/main" id="{7FE67423-FF58-B91F-FE5F-A5191FE1C5E1}"/>
            </a:ext>
          </a:extLst>
        </xdr:cNvPr>
        <xdr:cNvSpPr/>
      </xdr:nvSpPr>
      <xdr:spPr>
        <a:xfrm>
          <a:off x="3749041" y="1476104"/>
          <a:ext cx="1415142" cy="883919"/>
        </a:xfrm>
        <a:prstGeom prst="roundRect">
          <a:avLst>
            <a:gd name="adj" fmla="val 3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117566</xdr:colOff>
      <xdr:row>8</xdr:row>
      <xdr:rowOff>8709</xdr:rowOff>
    </xdr:from>
    <xdr:to>
      <xdr:col>3</xdr:col>
      <xdr:colOff>313508</xdr:colOff>
      <xdr:row>12</xdr:row>
      <xdr:rowOff>161109</xdr:rowOff>
    </xdr:to>
    <xdr:sp macro="" textlink="">
      <xdr:nvSpPr>
        <xdr:cNvPr id="14" name="Rectangle: Rounded Corners 13">
          <a:extLst>
            <a:ext uri="{FF2B5EF4-FFF2-40B4-BE49-F238E27FC236}">
              <a16:creationId xmlns:a16="http://schemas.microsoft.com/office/drawing/2014/main" id="{74FCD590-7FFF-D36A-16CB-EED3A69EB34E}"/>
            </a:ext>
          </a:extLst>
        </xdr:cNvPr>
        <xdr:cNvSpPr/>
      </xdr:nvSpPr>
      <xdr:spPr>
        <a:xfrm>
          <a:off x="727166" y="1471749"/>
          <a:ext cx="1415142" cy="883920"/>
        </a:xfrm>
        <a:prstGeom prst="roundRect">
          <a:avLst>
            <a:gd name="adj" fmla="val 50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126275</xdr:colOff>
      <xdr:row>15</xdr:row>
      <xdr:rowOff>121919</xdr:rowOff>
    </xdr:from>
    <xdr:to>
      <xdr:col>8</xdr:col>
      <xdr:colOff>300447</xdr:colOff>
      <xdr:row>21</xdr:row>
      <xdr:rowOff>47896</xdr:rowOff>
    </xdr:to>
    <xdr:sp macro="" textlink="">
      <xdr:nvSpPr>
        <xdr:cNvPr id="16" name="Rectangle: Rounded Corners 15">
          <a:extLst>
            <a:ext uri="{FF2B5EF4-FFF2-40B4-BE49-F238E27FC236}">
              <a16:creationId xmlns:a16="http://schemas.microsoft.com/office/drawing/2014/main" id="{7C7D6BE0-1801-EF23-FECE-4D22960D779E}"/>
            </a:ext>
          </a:extLst>
        </xdr:cNvPr>
        <xdr:cNvSpPr/>
      </xdr:nvSpPr>
      <xdr:spPr>
        <a:xfrm>
          <a:off x="735875" y="2865119"/>
          <a:ext cx="4441372" cy="1023257"/>
        </a:xfrm>
        <a:prstGeom prst="roundRect">
          <a:avLst>
            <a:gd name="adj" fmla="val 74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339634</xdr:colOff>
      <xdr:row>12</xdr:row>
      <xdr:rowOff>126278</xdr:rowOff>
    </xdr:from>
    <xdr:to>
      <xdr:col>12</xdr:col>
      <xdr:colOff>256903</xdr:colOff>
      <xdr:row>21</xdr:row>
      <xdr:rowOff>74023</xdr:rowOff>
    </xdr:to>
    <xdr:sp macro="" textlink="">
      <xdr:nvSpPr>
        <xdr:cNvPr id="17" name="Rectangle: Rounded Corners 16">
          <a:extLst>
            <a:ext uri="{FF2B5EF4-FFF2-40B4-BE49-F238E27FC236}">
              <a16:creationId xmlns:a16="http://schemas.microsoft.com/office/drawing/2014/main" id="{6C6B7AAA-392F-1953-CD81-1F483C867710}"/>
            </a:ext>
          </a:extLst>
        </xdr:cNvPr>
        <xdr:cNvSpPr/>
      </xdr:nvSpPr>
      <xdr:spPr>
        <a:xfrm>
          <a:off x="5216434" y="2320838"/>
          <a:ext cx="2355669" cy="1593665"/>
        </a:xfrm>
        <a:prstGeom prst="roundRect">
          <a:avLst>
            <a:gd name="adj" fmla="val 40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291735</xdr:colOff>
      <xdr:row>5</xdr:row>
      <xdr:rowOff>91441</xdr:rowOff>
    </xdr:from>
    <xdr:to>
      <xdr:col>6</xdr:col>
      <xdr:colOff>60960</xdr:colOff>
      <xdr:row>6</xdr:row>
      <xdr:rowOff>113213</xdr:rowOff>
    </xdr:to>
    <xdr:sp macro="" textlink="">
      <xdr:nvSpPr>
        <xdr:cNvPr id="18" name="TextBox 17">
          <a:extLst>
            <a:ext uri="{FF2B5EF4-FFF2-40B4-BE49-F238E27FC236}">
              <a16:creationId xmlns:a16="http://schemas.microsoft.com/office/drawing/2014/main" id="{EADF8C8F-AC38-9D38-89CD-724957CA9BB9}"/>
            </a:ext>
          </a:extLst>
        </xdr:cNvPr>
        <xdr:cNvSpPr txBox="1"/>
      </xdr:nvSpPr>
      <xdr:spPr>
        <a:xfrm>
          <a:off x="901335" y="1005841"/>
          <a:ext cx="2817225" cy="20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a:t>
          </a:r>
          <a:r>
            <a:rPr lang="en-IN" sz="1400" baseline="0"/>
            <a:t> Room Dashboard</a:t>
          </a:r>
          <a:endParaRPr lang="en-IN" sz="1400"/>
        </a:p>
      </xdr:txBody>
    </xdr:sp>
    <xdr:clientData/>
  </xdr:twoCellAnchor>
  <xdr:twoCellAnchor editAs="absolute">
    <xdr:from>
      <xdr:col>2</xdr:col>
      <xdr:colOff>391885</xdr:colOff>
      <xdr:row>6</xdr:row>
      <xdr:rowOff>126275</xdr:rowOff>
    </xdr:from>
    <xdr:to>
      <xdr:col>4</xdr:col>
      <xdr:colOff>278674</xdr:colOff>
      <xdr:row>8</xdr:row>
      <xdr:rowOff>21773</xdr:rowOff>
    </xdr:to>
    <xdr:sp macro="" textlink="">
      <xdr:nvSpPr>
        <xdr:cNvPr id="25" name="TextBox 24">
          <a:extLst>
            <a:ext uri="{FF2B5EF4-FFF2-40B4-BE49-F238E27FC236}">
              <a16:creationId xmlns:a16="http://schemas.microsoft.com/office/drawing/2014/main" id="{7AA48D3F-C4FE-499F-82BB-4056A357D39B}"/>
            </a:ext>
          </a:extLst>
        </xdr:cNvPr>
        <xdr:cNvSpPr txBox="1"/>
      </xdr:nvSpPr>
      <xdr:spPr>
        <a:xfrm>
          <a:off x="1611085" y="1223555"/>
          <a:ext cx="1105989"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a:t>
          </a:r>
          <a:r>
            <a:rPr lang="en-IN" sz="1000" baseline="0"/>
            <a:t> Report</a:t>
          </a:r>
          <a:endParaRPr lang="en-IN" sz="1000"/>
        </a:p>
      </xdr:txBody>
    </xdr:sp>
    <xdr:clientData/>
  </xdr:twoCellAnchor>
  <xdr:twoCellAnchor editAs="absolute">
    <xdr:from>
      <xdr:col>1</xdr:col>
      <xdr:colOff>60960</xdr:colOff>
      <xdr:row>9</xdr:row>
      <xdr:rowOff>8709</xdr:rowOff>
    </xdr:from>
    <xdr:to>
      <xdr:col>3</xdr:col>
      <xdr:colOff>330925</xdr:colOff>
      <xdr:row>9</xdr:row>
      <xdr:rowOff>161108</xdr:rowOff>
    </xdr:to>
    <xdr:sp macro="" textlink="">
      <xdr:nvSpPr>
        <xdr:cNvPr id="26" name="TextBox 25">
          <a:extLst>
            <a:ext uri="{FF2B5EF4-FFF2-40B4-BE49-F238E27FC236}">
              <a16:creationId xmlns:a16="http://schemas.microsoft.com/office/drawing/2014/main" id="{8E2779F3-8499-928D-C6D3-819751555A6B}"/>
            </a:ext>
          </a:extLst>
        </xdr:cNvPr>
        <xdr:cNvSpPr txBox="1"/>
      </xdr:nvSpPr>
      <xdr:spPr>
        <a:xfrm>
          <a:off x="670560" y="1654629"/>
          <a:ext cx="1489165"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No</a:t>
          </a:r>
          <a:r>
            <a:rPr lang="en-IN" sz="1000" baseline="0"/>
            <a:t>. of Patient</a:t>
          </a:r>
          <a:endParaRPr lang="en-IN" sz="1000"/>
        </a:p>
      </xdr:txBody>
    </xdr:sp>
    <xdr:clientData/>
  </xdr:twoCellAnchor>
  <xdr:twoCellAnchor editAs="absolute">
    <xdr:from>
      <xdr:col>1</xdr:col>
      <xdr:colOff>222068</xdr:colOff>
      <xdr:row>8</xdr:row>
      <xdr:rowOff>34836</xdr:rowOff>
    </xdr:from>
    <xdr:to>
      <xdr:col>3</xdr:col>
      <xdr:colOff>187232</xdr:colOff>
      <xdr:row>9</xdr:row>
      <xdr:rowOff>4355</xdr:rowOff>
    </xdr:to>
    <xdr:sp macro="" textlink="'Pivot Report'!A5">
      <xdr:nvSpPr>
        <xdr:cNvPr id="27" name="TextBox 26">
          <a:extLst>
            <a:ext uri="{FF2B5EF4-FFF2-40B4-BE49-F238E27FC236}">
              <a16:creationId xmlns:a16="http://schemas.microsoft.com/office/drawing/2014/main" id="{CAAA705E-14E1-AB18-5960-DB9998B76A5B}"/>
            </a:ext>
          </a:extLst>
        </xdr:cNvPr>
        <xdr:cNvSpPr txBox="1"/>
      </xdr:nvSpPr>
      <xdr:spPr>
        <a:xfrm>
          <a:off x="831668" y="1497876"/>
          <a:ext cx="1184364"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47D562B-A815-424F-974B-C9E682B027FF}" type="TxLink">
            <a:rPr lang="en-US" sz="1100" b="0" i="0" u="none" strike="noStrike">
              <a:solidFill>
                <a:srgbClr val="000000"/>
              </a:solidFill>
              <a:latin typeface="Calibri"/>
              <a:ea typeface="Calibri"/>
              <a:cs typeface="Calibri"/>
            </a:rPr>
            <a:pPr algn="ctr"/>
            <a:t>480</a:t>
          </a:fld>
          <a:endParaRPr lang="en-IN" sz="1000"/>
        </a:p>
      </xdr:txBody>
    </xdr:sp>
    <xdr:clientData/>
  </xdr:twoCellAnchor>
  <xdr:twoCellAnchor editAs="absolute">
    <xdr:from>
      <xdr:col>3</xdr:col>
      <xdr:colOff>378824</xdr:colOff>
      <xdr:row>9</xdr:row>
      <xdr:rowOff>4355</xdr:rowOff>
    </xdr:from>
    <xdr:to>
      <xdr:col>6</xdr:col>
      <xdr:colOff>21774</xdr:colOff>
      <xdr:row>9</xdr:row>
      <xdr:rowOff>156754</xdr:rowOff>
    </xdr:to>
    <xdr:sp macro="" textlink="">
      <xdr:nvSpPr>
        <xdr:cNvPr id="30" name="TextBox 29">
          <a:extLst>
            <a:ext uri="{FF2B5EF4-FFF2-40B4-BE49-F238E27FC236}">
              <a16:creationId xmlns:a16="http://schemas.microsoft.com/office/drawing/2014/main" id="{BAA6DAF0-CEC6-5769-3600-A45D0B23E32D}"/>
            </a:ext>
          </a:extLst>
        </xdr:cNvPr>
        <xdr:cNvSpPr txBox="1"/>
      </xdr:nvSpPr>
      <xdr:spPr>
        <a:xfrm>
          <a:off x="2207624" y="1650275"/>
          <a:ext cx="1471750"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Average</a:t>
          </a:r>
          <a:r>
            <a:rPr lang="en-IN" sz="1000" baseline="0"/>
            <a:t> Wait Time</a:t>
          </a:r>
          <a:endParaRPr lang="en-IN" sz="1000"/>
        </a:p>
      </xdr:txBody>
    </xdr:sp>
    <xdr:clientData/>
  </xdr:twoCellAnchor>
  <xdr:twoCellAnchor editAs="absolute">
    <xdr:from>
      <xdr:col>3</xdr:col>
      <xdr:colOff>539930</xdr:colOff>
      <xdr:row>8</xdr:row>
      <xdr:rowOff>30480</xdr:rowOff>
    </xdr:from>
    <xdr:to>
      <xdr:col>5</xdr:col>
      <xdr:colOff>505094</xdr:colOff>
      <xdr:row>9</xdr:row>
      <xdr:rowOff>1904</xdr:rowOff>
    </xdr:to>
    <xdr:sp macro="" textlink="'Pivot Report'!A10">
      <xdr:nvSpPr>
        <xdr:cNvPr id="31" name="TextBox 30">
          <a:extLst>
            <a:ext uri="{FF2B5EF4-FFF2-40B4-BE49-F238E27FC236}">
              <a16:creationId xmlns:a16="http://schemas.microsoft.com/office/drawing/2014/main" id="{FEAA5D29-4AD5-7D77-578D-66793A537388}"/>
            </a:ext>
          </a:extLst>
        </xdr:cNvPr>
        <xdr:cNvSpPr txBox="1"/>
      </xdr:nvSpPr>
      <xdr:spPr>
        <a:xfrm>
          <a:off x="2368730" y="1493520"/>
          <a:ext cx="1184364"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6699BEC-9F52-4E35-82CA-74520FA3E862}" type="TxLink">
            <a:rPr lang="en-US" sz="1100" b="0" i="0" u="none" strike="noStrike">
              <a:solidFill>
                <a:srgbClr val="000000"/>
              </a:solidFill>
              <a:latin typeface="Calibri"/>
              <a:ea typeface="Calibri"/>
              <a:cs typeface="Calibri"/>
            </a:rPr>
            <a:pPr algn="ctr"/>
            <a:t>34.43</a:t>
          </a:fld>
          <a:endParaRPr lang="en-IN" sz="1000"/>
        </a:p>
      </xdr:txBody>
    </xdr:sp>
    <xdr:clientData/>
  </xdr:twoCellAnchor>
  <xdr:twoCellAnchor editAs="absolute">
    <xdr:from>
      <xdr:col>6</xdr:col>
      <xdr:colOff>82732</xdr:colOff>
      <xdr:row>8</xdr:row>
      <xdr:rowOff>178527</xdr:rowOff>
    </xdr:from>
    <xdr:to>
      <xdr:col>8</xdr:col>
      <xdr:colOff>283030</xdr:colOff>
      <xdr:row>9</xdr:row>
      <xdr:rowOff>148046</xdr:rowOff>
    </xdr:to>
    <xdr:sp macro="" textlink="">
      <xdr:nvSpPr>
        <xdr:cNvPr id="35" name="TextBox 34">
          <a:extLst>
            <a:ext uri="{FF2B5EF4-FFF2-40B4-BE49-F238E27FC236}">
              <a16:creationId xmlns:a16="http://schemas.microsoft.com/office/drawing/2014/main" id="{51413938-AD65-5914-2C1B-23A19D953705}"/>
            </a:ext>
          </a:extLst>
        </xdr:cNvPr>
        <xdr:cNvSpPr txBox="1"/>
      </xdr:nvSpPr>
      <xdr:spPr>
        <a:xfrm>
          <a:off x="3740332" y="1641567"/>
          <a:ext cx="141949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Patient</a:t>
          </a:r>
          <a:r>
            <a:rPr lang="en-IN" sz="1000" baseline="0"/>
            <a:t> Satisfactory Score</a:t>
          </a:r>
          <a:endParaRPr lang="en-IN" sz="1000"/>
        </a:p>
      </xdr:txBody>
    </xdr:sp>
    <xdr:clientData/>
  </xdr:twoCellAnchor>
  <xdr:twoCellAnchor editAs="absolute">
    <xdr:from>
      <xdr:col>6</xdr:col>
      <xdr:colOff>265509</xdr:colOff>
      <xdr:row>8</xdr:row>
      <xdr:rowOff>26127</xdr:rowOff>
    </xdr:from>
    <xdr:to>
      <xdr:col>8</xdr:col>
      <xdr:colOff>175265</xdr:colOff>
      <xdr:row>8</xdr:row>
      <xdr:rowOff>178526</xdr:rowOff>
    </xdr:to>
    <xdr:sp macro="" textlink="'Pivot Report'!A15">
      <xdr:nvSpPr>
        <xdr:cNvPr id="36" name="TextBox 35">
          <a:extLst>
            <a:ext uri="{FF2B5EF4-FFF2-40B4-BE49-F238E27FC236}">
              <a16:creationId xmlns:a16="http://schemas.microsoft.com/office/drawing/2014/main" id="{31532D7C-8144-6290-A081-4C76C379768C}"/>
            </a:ext>
          </a:extLst>
        </xdr:cNvPr>
        <xdr:cNvSpPr txBox="1"/>
      </xdr:nvSpPr>
      <xdr:spPr>
        <a:xfrm>
          <a:off x="3923109" y="1489167"/>
          <a:ext cx="1128956"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E2BFC64-7D78-4D38-A3F9-55A60425260D}" type="TxLink">
            <a:rPr lang="en-US" sz="1100" b="0" i="0" u="none" strike="noStrike">
              <a:solidFill>
                <a:srgbClr val="000000"/>
              </a:solidFill>
              <a:latin typeface="Calibri"/>
              <a:ea typeface="Calibri"/>
              <a:cs typeface="Calibri"/>
            </a:rPr>
            <a:pPr algn="ctr"/>
            <a:t>5.16</a:t>
          </a:fld>
          <a:endParaRPr lang="en-IN" sz="1000"/>
        </a:p>
      </xdr:txBody>
    </xdr:sp>
    <xdr:clientData/>
  </xdr:twoCellAnchor>
  <xdr:twoCellAnchor editAs="oneCell">
    <xdr:from>
      <xdr:col>8</xdr:col>
      <xdr:colOff>100152</xdr:colOff>
      <xdr:row>8</xdr:row>
      <xdr:rowOff>34837</xdr:rowOff>
    </xdr:from>
    <xdr:to>
      <xdr:col>8</xdr:col>
      <xdr:colOff>256904</xdr:colOff>
      <xdr:row>9</xdr:row>
      <xdr:rowOff>8709</xdr:rowOff>
    </xdr:to>
    <xdr:pic>
      <xdr:nvPicPr>
        <xdr:cNvPr id="38" name="Graphic 37" descr="Stars with solid fill">
          <a:extLst>
            <a:ext uri="{FF2B5EF4-FFF2-40B4-BE49-F238E27FC236}">
              <a16:creationId xmlns:a16="http://schemas.microsoft.com/office/drawing/2014/main" id="{2B54BC7E-0C15-1E15-6F50-27588CCC78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76952" y="1497877"/>
          <a:ext cx="156752" cy="156752"/>
        </a:xfrm>
        <a:prstGeom prst="rect">
          <a:avLst/>
        </a:prstGeom>
      </xdr:spPr>
    </xdr:pic>
    <xdr:clientData/>
  </xdr:twoCellAnchor>
  <xdr:twoCellAnchor editAs="oneCell">
    <xdr:from>
      <xdr:col>5</xdr:col>
      <xdr:colOff>443694</xdr:colOff>
      <xdr:row>8</xdr:row>
      <xdr:rowOff>49852</xdr:rowOff>
    </xdr:from>
    <xdr:to>
      <xdr:col>6</xdr:col>
      <xdr:colOff>1956</xdr:colOff>
      <xdr:row>8</xdr:row>
      <xdr:rowOff>174171</xdr:rowOff>
    </xdr:to>
    <xdr:pic>
      <xdr:nvPicPr>
        <xdr:cNvPr id="40" name="Graphic 39" descr="Hourglass Finished with solid fill">
          <a:extLst>
            <a:ext uri="{FF2B5EF4-FFF2-40B4-BE49-F238E27FC236}">
              <a16:creationId xmlns:a16="http://schemas.microsoft.com/office/drawing/2014/main" id="{53D66DBB-748B-EBC0-440F-A78B9B2463A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1694" y="1512892"/>
          <a:ext cx="167862" cy="124319"/>
        </a:xfrm>
        <a:prstGeom prst="rect">
          <a:avLst/>
        </a:prstGeom>
      </xdr:spPr>
    </xdr:pic>
    <xdr:clientData/>
  </xdr:twoCellAnchor>
  <xdr:twoCellAnchor editAs="oneCell">
    <xdr:from>
      <xdr:col>3</xdr:col>
      <xdr:colOff>104058</xdr:colOff>
      <xdr:row>8</xdr:row>
      <xdr:rowOff>21325</xdr:rowOff>
    </xdr:from>
    <xdr:to>
      <xdr:col>3</xdr:col>
      <xdr:colOff>274321</xdr:colOff>
      <xdr:row>9</xdr:row>
      <xdr:rowOff>8708</xdr:rowOff>
    </xdr:to>
    <xdr:pic>
      <xdr:nvPicPr>
        <xdr:cNvPr id="42" name="Graphic 41" descr="Male profile with solid fill">
          <a:extLst>
            <a:ext uri="{FF2B5EF4-FFF2-40B4-BE49-F238E27FC236}">
              <a16:creationId xmlns:a16="http://schemas.microsoft.com/office/drawing/2014/main" id="{C8B213EB-7F6E-6031-7916-E085391A69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32858" y="1484365"/>
          <a:ext cx="170263" cy="170263"/>
        </a:xfrm>
        <a:prstGeom prst="rect">
          <a:avLst/>
        </a:prstGeom>
      </xdr:spPr>
    </xdr:pic>
    <xdr:clientData/>
  </xdr:twoCellAnchor>
  <xdr:twoCellAnchor editAs="oneCell">
    <xdr:from>
      <xdr:col>0</xdr:col>
      <xdr:colOff>126273</xdr:colOff>
      <xdr:row>8</xdr:row>
      <xdr:rowOff>60962</xdr:rowOff>
    </xdr:from>
    <xdr:to>
      <xdr:col>1</xdr:col>
      <xdr:colOff>48123</xdr:colOff>
      <xdr:row>20</xdr:row>
      <xdr:rowOff>134402</xdr:rowOff>
    </xdr:to>
    <mc:AlternateContent xmlns:mc="http://schemas.openxmlformats.org/markup-compatibility/2006">
      <mc:Choice xmlns:a14="http://schemas.microsoft.com/office/drawing/2010/main" Requires="a14">
        <xdr:graphicFrame macro="">
          <xdr:nvGraphicFramePr>
            <xdr:cNvPr id="43" name="Date (Month)">
              <a:extLst>
                <a:ext uri="{FF2B5EF4-FFF2-40B4-BE49-F238E27FC236}">
                  <a16:creationId xmlns:a16="http://schemas.microsoft.com/office/drawing/2014/main" id="{E8FDD04E-062D-438F-8309-8E8B959823B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6273" y="1508762"/>
              <a:ext cx="531450" cy="2245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113211</xdr:colOff>
      <xdr:row>9</xdr:row>
      <xdr:rowOff>178525</xdr:rowOff>
    </xdr:from>
    <xdr:to>
      <xdr:col>3</xdr:col>
      <xdr:colOff>320363</xdr:colOff>
      <xdr:row>12</xdr:row>
      <xdr:rowOff>126274</xdr:rowOff>
    </xdr:to>
    <xdr:graphicFrame macro="">
      <xdr:nvGraphicFramePr>
        <xdr:cNvPr id="44" name="Chart 43">
          <a:hlinkClick xmlns:r="http://schemas.openxmlformats.org/officeDocument/2006/relationships" r:id="rId8"/>
          <a:extLst>
            <a:ext uri="{FF2B5EF4-FFF2-40B4-BE49-F238E27FC236}">
              <a16:creationId xmlns:a16="http://schemas.microsoft.com/office/drawing/2014/main" id="{4BF452E4-FBAE-4B67-AA1A-40F34B13C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374469</xdr:colOff>
      <xdr:row>10</xdr:row>
      <xdr:rowOff>91442</xdr:rowOff>
    </xdr:from>
    <xdr:to>
      <xdr:col>6</xdr:col>
      <xdr:colOff>130628</xdr:colOff>
      <xdr:row>12</xdr:row>
      <xdr:rowOff>113211</xdr:rowOff>
    </xdr:to>
    <xdr:graphicFrame macro="">
      <xdr:nvGraphicFramePr>
        <xdr:cNvPr id="45" name="Chart 44">
          <a:hlinkClick xmlns:r="http://schemas.openxmlformats.org/officeDocument/2006/relationships" r:id="rId10"/>
          <a:extLst>
            <a:ext uri="{FF2B5EF4-FFF2-40B4-BE49-F238E27FC236}">
              <a16:creationId xmlns:a16="http://schemas.microsoft.com/office/drawing/2014/main" id="{877B560B-FEC0-409A-907E-54E98EB58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82731</xdr:colOff>
      <xdr:row>10</xdr:row>
      <xdr:rowOff>69669</xdr:rowOff>
    </xdr:from>
    <xdr:to>
      <xdr:col>8</xdr:col>
      <xdr:colOff>287383</xdr:colOff>
      <xdr:row>12</xdr:row>
      <xdr:rowOff>108860</xdr:rowOff>
    </xdr:to>
    <xdr:graphicFrame macro="">
      <xdr:nvGraphicFramePr>
        <xdr:cNvPr id="46" name="Chart 45">
          <a:hlinkClick xmlns:r="http://schemas.openxmlformats.org/officeDocument/2006/relationships" r:id="rId12"/>
          <a:extLst>
            <a:ext uri="{FF2B5EF4-FFF2-40B4-BE49-F238E27FC236}">
              <a16:creationId xmlns:a16="http://schemas.microsoft.com/office/drawing/2014/main" id="{A0975BB9-3F29-4FC3-A083-C4B323F1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117567</xdr:colOff>
          <xdr:row>13</xdr:row>
          <xdr:rowOff>17417</xdr:rowOff>
        </xdr:from>
        <xdr:to>
          <xdr:col>8</xdr:col>
          <xdr:colOff>283029</xdr:colOff>
          <xdr:row>15</xdr:row>
          <xdr:rowOff>82731</xdr:rowOff>
        </xdr:to>
        <xdr:pic>
          <xdr:nvPicPr>
            <xdr:cNvPr id="58" name="Picture 57">
              <a:extLst>
                <a:ext uri="{FF2B5EF4-FFF2-40B4-BE49-F238E27FC236}">
                  <a16:creationId xmlns:a16="http://schemas.microsoft.com/office/drawing/2014/main" id="{860CF995-7FAC-C5DA-A46E-FC92433B83D4}"/>
                </a:ext>
              </a:extLst>
            </xdr:cNvPr>
            <xdr:cNvPicPr>
              <a:picLocks noChangeAspect="1" noChangeArrowheads="1"/>
              <a:extLst>
                <a:ext uri="{84589F7E-364E-4C9E-8A38-B11213B215E9}">
                  <a14:cameraTool cellRange="'Pivot Report'!$A$39:$D$41" spid="_x0000_s2075"/>
                </a:ext>
              </a:extLst>
            </xdr:cNvPicPr>
          </xdr:nvPicPr>
          <xdr:blipFill>
            <a:blip xmlns:r="http://schemas.openxmlformats.org/officeDocument/2006/relationships" r:embed="rId14"/>
            <a:srcRect/>
            <a:stretch>
              <a:fillRect/>
            </a:stretch>
          </xdr:blipFill>
          <xdr:spPr bwMode="auto">
            <a:xfrm>
              <a:off x="727167" y="2394857"/>
              <a:ext cx="4432662" cy="43107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317860</xdr:colOff>
      <xdr:row>16</xdr:row>
      <xdr:rowOff>52251</xdr:rowOff>
    </xdr:from>
    <xdr:to>
      <xdr:col>8</xdr:col>
      <xdr:colOff>100149</xdr:colOff>
      <xdr:row>20</xdr:row>
      <xdr:rowOff>60960</xdr:rowOff>
    </xdr:to>
    <xdr:graphicFrame macro="">
      <xdr:nvGraphicFramePr>
        <xdr:cNvPr id="59" name="Chart 58">
          <a:extLst>
            <a:ext uri="{FF2B5EF4-FFF2-40B4-BE49-F238E27FC236}">
              <a16:creationId xmlns:a16="http://schemas.microsoft.com/office/drawing/2014/main" id="{D4BEE894-DD46-406A-A673-56D19E1D3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261256</xdr:colOff>
      <xdr:row>20</xdr:row>
      <xdr:rowOff>87087</xdr:rowOff>
    </xdr:from>
    <xdr:to>
      <xdr:col>5</xdr:col>
      <xdr:colOff>531221</xdr:colOff>
      <xdr:row>21</xdr:row>
      <xdr:rowOff>56606</xdr:rowOff>
    </xdr:to>
    <xdr:sp macro="" textlink="">
      <xdr:nvSpPr>
        <xdr:cNvPr id="60" name="TextBox 59">
          <a:extLst>
            <a:ext uri="{FF2B5EF4-FFF2-40B4-BE49-F238E27FC236}">
              <a16:creationId xmlns:a16="http://schemas.microsoft.com/office/drawing/2014/main" id="{11EF738B-2B25-C578-9D2E-4F89C2B9850F}"/>
            </a:ext>
          </a:extLst>
        </xdr:cNvPr>
        <xdr:cNvSpPr txBox="1"/>
      </xdr:nvSpPr>
      <xdr:spPr>
        <a:xfrm>
          <a:off x="2090056" y="3744687"/>
          <a:ext cx="1489165"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Age group</a:t>
          </a:r>
          <a:endParaRPr lang="en-IN" sz="800"/>
        </a:p>
      </xdr:txBody>
    </xdr:sp>
    <xdr:clientData/>
  </xdr:twoCellAnchor>
  <xdr:twoCellAnchor>
    <xdr:from>
      <xdr:col>8</xdr:col>
      <xdr:colOff>47896</xdr:colOff>
      <xdr:row>5</xdr:row>
      <xdr:rowOff>82732</xdr:rowOff>
    </xdr:from>
    <xdr:to>
      <xdr:col>11</xdr:col>
      <xdr:colOff>570412</xdr:colOff>
      <xdr:row>12</xdr:row>
      <xdr:rowOff>87086</xdr:rowOff>
    </xdr:to>
    <xdr:graphicFrame macro="">
      <xdr:nvGraphicFramePr>
        <xdr:cNvPr id="2" name="Chart 1">
          <a:extLst>
            <a:ext uri="{FF2B5EF4-FFF2-40B4-BE49-F238E27FC236}">
              <a16:creationId xmlns:a16="http://schemas.microsoft.com/office/drawing/2014/main" id="{A5683694-DE94-4C16-918A-FA0396301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343988</xdr:colOff>
      <xdr:row>11</xdr:row>
      <xdr:rowOff>143691</xdr:rowOff>
    </xdr:from>
    <xdr:to>
      <xdr:col>10</xdr:col>
      <xdr:colOff>274320</xdr:colOff>
      <xdr:row>12</xdr:row>
      <xdr:rowOff>100149</xdr:rowOff>
    </xdr:to>
    <xdr:sp macro="" textlink="">
      <xdr:nvSpPr>
        <xdr:cNvPr id="3" name="TextBox 2">
          <a:extLst>
            <a:ext uri="{FF2B5EF4-FFF2-40B4-BE49-F238E27FC236}">
              <a16:creationId xmlns:a16="http://schemas.microsoft.com/office/drawing/2014/main" id="{FE26698E-B654-5895-4923-60C145C45BF2}"/>
            </a:ext>
          </a:extLst>
        </xdr:cNvPr>
        <xdr:cNvSpPr txBox="1"/>
      </xdr:nvSpPr>
      <xdr:spPr>
        <a:xfrm>
          <a:off x="5220788" y="2155371"/>
          <a:ext cx="1149532" cy="13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IN" sz="700"/>
            <a:t>Patient</a:t>
          </a:r>
          <a:r>
            <a:rPr lang="en-IN" sz="700" baseline="0"/>
            <a:t> attended within Time</a:t>
          </a:r>
          <a:endParaRPr lang="en-IN" sz="700"/>
        </a:p>
      </xdr:txBody>
    </xdr:sp>
    <xdr:clientData/>
  </xdr:twoCellAnchor>
  <xdr:twoCellAnchor>
    <xdr:from>
      <xdr:col>10</xdr:col>
      <xdr:colOff>283032</xdr:colOff>
      <xdr:row>4</xdr:row>
      <xdr:rowOff>143691</xdr:rowOff>
    </xdr:from>
    <xdr:to>
      <xdr:col>13</xdr:col>
      <xdr:colOff>100150</xdr:colOff>
      <xdr:row>12</xdr:row>
      <xdr:rowOff>104503</xdr:rowOff>
    </xdr:to>
    <xdr:graphicFrame macro="">
      <xdr:nvGraphicFramePr>
        <xdr:cNvPr id="8" name="Chart 7">
          <a:extLst>
            <a:ext uri="{FF2B5EF4-FFF2-40B4-BE49-F238E27FC236}">
              <a16:creationId xmlns:a16="http://schemas.microsoft.com/office/drawing/2014/main" id="{AC0B1B37-09D1-4994-A362-EE6201EE4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283028</xdr:colOff>
      <xdr:row>11</xdr:row>
      <xdr:rowOff>126273</xdr:rowOff>
    </xdr:from>
    <xdr:to>
      <xdr:col>12</xdr:col>
      <xdr:colOff>213360</xdr:colOff>
      <xdr:row>12</xdr:row>
      <xdr:rowOff>82731</xdr:rowOff>
    </xdr:to>
    <xdr:sp macro="" textlink="">
      <xdr:nvSpPr>
        <xdr:cNvPr id="9" name="TextBox 8">
          <a:extLst>
            <a:ext uri="{FF2B5EF4-FFF2-40B4-BE49-F238E27FC236}">
              <a16:creationId xmlns:a16="http://schemas.microsoft.com/office/drawing/2014/main" id="{E0111309-B531-4500-A0A0-8735472CDEFD}"/>
            </a:ext>
          </a:extLst>
        </xdr:cNvPr>
        <xdr:cNvSpPr txBox="1"/>
      </xdr:nvSpPr>
      <xdr:spPr>
        <a:xfrm>
          <a:off x="6379028" y="2137953"/>
          <a:ext cx="1149532" cy="13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IN" sz="700"/>
            <a:t>Gender</a:t>
          </a:r>
          <a:r>
            <a:rPr lang="en-IN" sz="700" baseline="0"/>
            <a:t> wise Analysis</a:t>
          </a:r>
          <a:endParaRPr lang="en-IN" sz="700"/>
        </a:p>
      </xdr:txBody>
    </xdr:sp>
    <xdr:clientData/>
  </xdr:twoCellAnchor>
  <xdr:twoCellAnchor>
    <xdr:from>
      <xdr:col>8</xdr:col>
      <xdr:colOff>418010</xdr:colOff>
      <xdr:row>13</xdr:row>
      <xdr:rowOff>39188</xdr:rowOff>
    </xdr:from>
    <xdr:to>
      <xdr:col>12</xdr:col>
      <xdr:colOff>195943</xdr:colOff>
      <xdr:row>20</xdr:row>
      <xdr:rowOff>113211</xdr:rowOff>
    </xdr:to>
    <xdr:graphicFrame macro="">
      <xdr:nvGraphicFramePr>
        <xdr:cNvPr id="15" name="Chart 14">
          <a:extLst>
            <a:ext uri="{FF2B5EF4-FFF2-40B4-BE49-F238E27FC236}">
              <a16:creationId xmlns:a16="http://schemas.microsoft.com/office/drawing/2014/main" id="{979D67C1-E37C-401D-A5D2-4D6CA9076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347664</xdr:colOff>
      <xdr:row>20</xdr:row>
      <xdr:rowOff>85726</xdr:rowOff>
    </xdr:from>
    <xdr:to>
      <xdr:col>12</xdr:col>
      <xdr:colOff>261938</xdr:colOff>
      <xdr:row>21</xdr:row>
      <xdr:rowOff>57151</xdr:rowOff>
    </xdr:to>
    <xdr:sp macro="" textlink="">
      <xdr:nvSpPr>
        <xdr:cNvPr id="19" name="TextBox 18">
          <a:extLst>
            <a:ext uri="{FF2B5EF4-FFF2-40B4-BE49-F238E27FC236}">
              <a16:creationId xmlns:a16="http://schemas.microsoft.com/office/drawing/2014/main" id="{A51597A4-0C4D-88B7-9BDD-4A2545B66C5B}"/>
            </a:ext>
          </a:extLst>
        </xdr:cNvPr>
        <xdr:cNvSpPr txBox="1"/>
      </xdr:nvSpPr>
      <xdr:spPr>
        <a:xfrm>
          <a:off x="5224464" y="3705226"/>
          <a:ext cx="2352674"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IN" sz="700"/>
            <a:t>No.</a:t>
          </a:r>
          <a:r>
            <a:rPr lang="en-IN" sz="700" baseline="0"/>
            <a:t> of Patient by Department Referal</a:t>
          </a:r>
          <a:endParaRPr lang="en-IN" sz="700"/>
        </a:p>
      </xdr:txBody>
    </xdr:sp>
    <xdr:clientData/>
  </xdr:twoCellAnchor>
  <xdr:twoCellAnchor editAs="oneCell">
    <xdr:from>
      <xdr:col>6</xdr:col>
      <xdr:colOff>509452</xdr:colOff>
      <xdr:row>5</xdr:row>
      <xdr:rowOff>100149</xdr:rowOff>
    </xdr:from>
    <xdr:to>
      <xdr:col>8</xdr:col>
      <xdr:colOff>256903</xdr:colOff>
      <xdr:row>7</xdr:row>
      <xdr:rowOff>126274</xdr:rowOff>
    </xdr:to>
    <mc:AlternateContent xmlns:mc="http://schemas.openxmlformats.org/markup-compatibility/2006">
      <mc:Choice xmlns:a14="http://schemas.microsoft.com/office/drawing/2010/main" Requires="a14">
        <xdr:graphicFrame macro="">
          <xdr:nvGraphicFramePr>
            <xdr:cNvPr id="20" name="Date (Year)">
              <a:extLst>
                <a:ext uri="{FF2B5EF4-FFF2-40B4-BE49-F238E27FC236}">
                  <a16:creationId xmlns:a16="http://schemas.microsoft.com/office/drawing/2014/main" id="{4C58D714-8910-4D07-B8B1-FE61759E7F1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167052" y="1005024"/>
              <a:ext cx="966651" cy="388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xdr:colOff>
      <xdr:row>1</xdr:row>
      <xdr:rowOff>7620</xdr:rowOff>
    </xdr:from>
    <xdr:to>
      <xdr:col>22</xdr:col>
      <xdr:colOff>563880</xdr:colOff>
      <xdr:row>26</xdr:row>
      <xdr:rowOff>91440</xdr:rowOff>
    </xdr:to>
    <xdr:graphicFrame macro="">
      <xdr:nvGraphicFramePr>
        <xdr:cNvPr id="2" name="Chart 1">
          <a:extLst>
            <a:ext uri="{FF2B5EF4-FFF2-40B4-BE49-F238E27FC236}">
              <a16:creationId xmlns:a16="http://schemas.microsoft.com/office/drawing/2014/main" id="{87B545B1-DC7A-49AF-9332-C7B11E071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0.00993</cdr:x>
      <cdr:y>0.02237</cdr:y>
    </cdr:from>
    <cdr:to>
      <cdr:x>0.05358</cdr:x>
      <cdr:y>0.14954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42320CE-CC26-FCF7-5343-C6567AC6F0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4620" y="104140"/>
          <a:ext cx="592095" cy="59209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102973</xdr:colOff>
      <xdr:row>0</xdr:row>
      <xdr:rowOff>82378</xdr:rowOff>
    </xdr:from>
    <xdr:to>
      <xdr:col>15</xdr:col>
      <xdr:colOff>303771</xdr:colOff>
      <xdr:row>17</xdr:row>
      <xdr:rowOff>87527</xdr:rowOff>
    </xdr:to>
    <xdr:graphicFrame macro="">
      <xdr:nvGraphicFramePr>
        <xdr:cNvPr id="2" name="Chart 1">
          <a:extLst>
            <a:ext uri="{FF2B5EF4-FFF2-40B4-BE49-F238E27FC236}">
              <a16:creationId xmlns:a16="http://schemas.microsoft.com/office/drawing/2014/main" id="{8A0F3FAF-C84F-4B8A-A99A-2B4938511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216244</xdr:colOff>
      <xdr:row>0</xdr:row>
      <xdr:rowOff>102972</xdr:rowOff>
    </xdr:from>
    <xdr:to>
      <xdr:col>1</xdr:col>
      <xdr:colOff>200798</xdr:colOff>
      <xdr:row>3</xdr:row>
      <xdr:rowOff>139013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42320CE-CC26-FCF7-5343-C6567AC6F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6244" y="102972"/>
          <a:ext cx="592095" cy="592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93790</xdr:colOff>
      <xdr:row>0</xdr:row>
      <xdr:rowOff>134821</xdr:rowOff>
    </xdr:from>
    <xdr:to>
      <xdr:col>17</xdr:col>
      <xdr:colOff>351698</xdr:colOff>
      <xdr:row>20</xdr:row>
      <xdr:rowOff>17590</xdr:rowOff>
    </xdr:to>
    <xdr:graphicFrame macro="">
      <xdr:nvGraphicFramePr>
        <xdr:cNvPr id="2" name="Chart 1">
          <a:extLst>
            <a:ext uri="{FF2B5EF4-FFF2-40B4-BE49-F238E27FC236}">
              <a16:creationId xmlns:a16="http://schemas.microsoft.com/office/drawing/2014/main" id="{74884275-DC05-4D53-A949-A45E0917A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216879</xdr:colOff>
      <xdr:row>1</xdr:row>
      <xdr:rowOff>17585</xdr:rowOff>
    </xdr:from>
    <xdr:to>
      <xdr:col>1</xdr:col>
      <xdr:colOff>128954</xdr:colOff>
      <xdr:row>3</xdr:row>
      <xdr:rowOff>175845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71D6857-1443-6412-11B7-09AB58E36A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6879" y="199293"/>
          <a:ext cx="521675" cy="5216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5370368" createdVersion="5" refreshedVersion="8" minRefreshableVersion="3" recordCount="0" supportSubquery="1" supportAdvancedDrill="1" xr:uid="{69EB3E06-E773-42E1-A3FF-4EB59D09B97D}">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5601853" createdVersion="5" refreshedVersion="8" minRefreshableVersion="3" recordCount="0" supportSubquery="1" supportAdvancedDrill="1" xr:uid="{55D8F2D2-2D5B-4AD7-8C12-FE537AC804D7}">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583333" createdVersion="5" refreshedVersion="8" minRefreshableVersion="3" recordCount="0" supportSubquery="1" supportAdvancedDrill="1" xr:uid="{54852007-83E2-42F5-8222-F59386D1EF9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6064814" createdVersion="5" refreshedVersion="8" minRefreshableVersion="3" recordCount="0" supportSubquery="1" supportAdvancedDrill="1" xr:uid="{957E288E-4143-4E0B-BBEA-C2E2F6E37D75}">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6643515" createdVersion="5" refreshedVersion="8" minRefreshableVersion="3" recordCount="0" supportSubquery="1" supportAdvancedDrill="1" xr:uid="{33F180EC-E336-4CE3-AC2C-1955B3CDBA07}">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7106484" createdVersion="5" refreshedVersion="8" minRefreshableVersion="3" recordCount="0" supportSubquery="1" supportAdvancedDrill="1" xr:uid="{26FE8588-21F2-4629-8062-0D976DB73C7D}">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7685185" createdVersion="5" refreshedVersion="8" minRefreshableVersion="3" recordCount="0" supportSubquery="1" supportAdvancedDrill="1" xr:uid="{0651B855-A53B-4A95-8A48-122D3D886854}">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8263885" createdVersion="5" refreshedVersion="8" minRefreshableVersion="3" recordCount="0" supportSubquery="1" supportAdvancedDrill="1" xr:uid="{3FC9B9F6-1A89-4272-BA9C-C5F58457693D}">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
        <s v="10-19"/>
        <s v="20-29"/>
        <s v="30-39"/>
        <s v="40-49"/>
        <s v="50-59"/>
        <s v="60-69"/>
        <s v="70-79"/>
      </sharedItems>
    </cacheField>
    <cacheField name="[Measures].[Count of Age Group]" caption="Count of Age Group"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8726855" createdVersion="5" refreshedVersion="8" minRefreshableVersion="3" recordCount="0" supportSubquery="1" supportAdvancedDrill="1" xr:uid="{D4033FD8-763D-4D55-825D-9AB8380408C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9305555" createdVersion="5" refreshedVersion="8" minRefreshableVersion="3" recordCount="0" supportSubquery="1" supportAdvancedDrill="1" xr:uid="{A0181A3D-0CDC-4669-9703-B078CF78CB0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49884256" createdVersion="5" refreshedVersion="8" minRefreshableVersion="3" recordCount="0" supportSubquery="1" supportAdvancedDrill="1" xr:uid="{11339025-25DE-484E-81DA-37FFA5018518}">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70.532050347225" createdVersion="5" refreshedVersion="8" minRefreshableVersion="3" recordCount="0" supportSubquery="1" supportAdvancedDrill="1" xr:uid="{C006ADB0-ADA6-48AC-98C9-D28667B936AF}">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sh mohapatra" refreshedDate="45949.01469664352" createdVersion="3" refreshedVersion="8" minRefreshableVersion="3" recordCount="0" supportSubquery="1" supportAdvancedDrill="1" xr:uid="{706EE614-B27E-4F68-857C-27B202B7EDC9}">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837971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7145C-766E-4752-9E1C-2D02D1C7E8D2}" name="PivotTable4" cacheId="771" applyNumberFormats="0" applyBorderFormats="0" applyFontFormats="0" applyPatternFormats="0" applyAlignmentFormats="0" applyWidthHeightFormats="1" dataCaption="Values" tag="eb9f49b5-0407-4c0e-94ff-044748cb30c3" updatedVersion="8" minRefreshableVersion="3" subtotalHiddenItems="1" itemPrintTitles="1" createdVersion="5" indent="0" outline="1" outlineData="1" multipleFieldFilters="0" chartFormat="14">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38C35-A563-4F4C-9E76-FE1052EFDFE7}" name="PivotTable1" cacheId="774" applyNumberFormats="0" applyBorderFormats="0" applyFontFormats="0" applyPatternFormats="0" applyAlignmentFormats="0" applyWidthHeightFormats="1" dataCaption="Values" tag="ec9fd21a-39c6-47cb-abd9-a310252e2b3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15D45-AE66-4DCA-9675-E26B193357B5}" name="PivotTable11" cacheId="801" applyNumberFormats="0" applyBorderFormats="0" applyFontFormats="0" applyPatternFormats="0" applyAlignmentFormats="0" applyWidthHeightFormats="1" dataCaption="Values" tag="78bf40c4-cb9f-4573-a413-bba33a6a44dd" updatedVersion="8" minRefreshableVersion="3" subtotalHiddenItems="1" itemPrintTitles="1" createdVersion="5" indent="0" outline="1" outlineData="1" multipleFieldFilters="0" chartFormat="52">
  <location ref="A71:B8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242">
      <pivotArea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DBDE9-188D-46ED-B849-C91026B4AD5E}" name="PivotTable5" cacheId="795" applyNumberFormats="0" applyBorderFormats="0" applyFontFormats="0" applyPatternFormats="0" applyAlignmentFormats="0" applyWidthHeightFormats="1" dataCaption="Values" tag="78bf40c4-cb9f-4573-a413-bba33a6a44dd" updatedVersion="8" minRefreshableVersion="3" subtotalHiddenItems="1" itemPrintTitles="1" createdVersion="5" indent="0" outline="1" outlineData="1" multipleFieldFilters="0" chartFormat="42">
  <location ref="A56: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43">
      <pivotArea outline="0" collapsedLevelsAreSubtotals="1" fieldPosition="0"/>
    </format>
  </formats>
  <chartFormats count="3">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23B71-4BFB-4622-A2FE-BDC708C6CD17}" name="PivotTable6" cacheId="783" applyNumberFormats="0" applyBorderFormats="0" applyFontFormats="0" applyPatternFormats="0" applyAlignmentFormats="0" applyWidthHeightFormats="1" dataCaption="Values" tag="4e548ff5-aaff-4a4e-a8e2-34b4f6df592e" updatedVersion="8" minRefreshableVersion="3" subtotalHiddenItems="1" itemPrintTitles="1" createdVersion="5" indent="0" outline="1" outlineData="1" multipleFieldFilters="0" chartFormat="22">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44">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78123-3237-49B9-9362-049AA736C734}" name="PivotTable7" cacheId="786" applyNumberFormats="0" applyBorderFormats="0" applyFontFormats="0" applyPatternFormats="0" applyAlignmentFormats="0" applyWidthHeightFormats="1" dataCaption="Values" tag="eead3820-44e8-4402-b0fd-f534b8b203e2" updatedVersion="8" minRefreshableVersion="3" subtotalHiddenItems="1" itemPrintTitles="1" createdVersion="5" indent="0" outline="1" outlineData="1" multipleFieldFilters="0" chartFormat="31">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45">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B2087B-6FAB-42EC-9B54-C4E68C83B0E7}" name="PivotTable8" cacheId="789" applyNumberFormats="0" applyBorderFormats="0" applyFontFormats="0" applyPatternFormats="0" applyAlignmentFormats="0" applyWidthHeightFormats="1" dataCaption="Values" tag="42e221d7-39f0-4b35-a2c6-00a54429bf3a" updatedVersion="8" minRefreshableVersion="3" subtotalHiddenItems="1" itemPrintTitles="1" createdVersion="5" indent="0" outline="1" outlineData="1" multipleFieldFilters="0" chartFormat="29">
  <location ref="A20:C2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7">
      <pivotArea outline="0" collapsedLevelsAreSubtotals="1" fieldPosition="0"/>
    </format>
    <format dxfId="24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B6EA7A-1A2A-42B5-83FC-6AEE207C6216}" name="PivotTable12" cacheId="804" applyNumberFormats="0" applyBorderFormats="0" applyFontFormats="0" applyPatternFormats="0" applyAlignmentFormats="0" applyWidthHeightFormats="1" dataCaption="Values" tag="78bf40c4-cb9f-4573-a413-bba33a6a44dd" updatedVersion="8" minRefreshableVersion="3" subtotalHiddenItems="1" itemPrintTitles="1" createdVersion="5" indent="0" outline="1" outlineData="1" multipleFieldFilters="0" chartFormat="52">
  <location ref="A85:A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8">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6FE90D-10E3-4EEE-ADC4-1CDFCED38A41}" name="PivotTable2" cacheId="777" applyNumberFormats="0" applyBorderFormats="0" applyFontFormats="0" applyPatternFormats="0" applyAlignmentFormats="0" applyWidthHeightFormats="1" dataCaption="Values" tag="36e6684e-9594-4ed2-99d5-99a899c9a907"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9">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ECF3C5-748C-4EDE-8EE3-CB9D9B4A03BA}" name="PivotTable9" cacheId="792" applyNumberFormats="0" applyBorderFormats="0" applyFontFormats="0" applyPatternFormats="0" applyAlignmentFormats="0" applyWidthHeightFormats="1" dataCaption="Values" tag="78bf40c4-cb9f-4573-a413-bba33a6a44dd" updatedVersion="8" minRefreshableVersion="3" subtotalHiddenItems="1" itemPrintTitles="1" createdVersion="5" indent="0" outline="1" outlineData="1" multipleFieldFilters="0" chartFormat="36">
  <location ref="A43:B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50">
      <pivotArea outline="0" collapsedLevelsAreSubtotals="1" fieldPosition="0"/>
    </format>
  </formats>
  <chartFormats count="4">
    <chartFormat chart="29"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76E92B-D8E0-425B-8C13-73AD8D9D3B91}" name="PivotTable10" cacheId="798" applyNumberFormats="0" applyBorderFormats="0" applyFontFormats="0" applyPatternFormats="0" applyAlignmentFormats="0" applyWidthHeightFormats="1" dataCaption="Values" tag="78bf40c4-cb9f-4573-a413-bba33a6a44dd" updatedVersion="8" minRefreshableVersion="3" subtotalHiddenItems="1" itemPrintTitles="1" createdVersion="5" indent="0" outline="1" outlineData="1" multipleFieldFilters="0" chartFormat="47">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51">
      <pivotArea outline="0" collapsedLevelsAreSubtotals="1" fieldPosition="0"/>
    </format>
  </formats>
  <chartFormats count="4">
    <chartFormat chart="42" format="0"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1" count="1" selected="0">
            <x v="0"/>
          </reference>
        </references>
      </pivotArea>
    </chartFormat>
    <chartFormat chart="4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FB36D0-0ACB-4659-9E82-E590050FD2E0}" name="PivotTable3" cacheId="780" applyNumberFormats="0" applyBorderFormats="0" applyFontFormats="0" applyPatternFormats="0" applyAlignmentFormats="0" applyWidthHeightFormats="1" dataCaption="Values" tag="5072838a-fd65-453a-8ec0-1c76743ddd45"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2">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25DE097-2A55-4044-9829-CA1E799826D7}"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5"/>
    <pivotTable tabId="1" name="PivotTable10"/>
    <pivotTable tabId="1" name="PivotTable11"/>
    <pivotTable tabId="1" name="PivotTable12"/>
  </pivotTables>
  <data>
    <olap pivotCacheId="208379717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98DACB9-4CBB-4282-AE31-D86D95DB67E5}"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8379717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6A5FAA5-B722-4A26-A878-7BF9A48AC57F}" cache="Slicer_Date__Month" caption="Date (Month)" showCaption="0" level="1" style="My Style" rowHeight="144000"/>
  <slicer name="Date (Year)" xr10:uid="{35C657B5-CC8C-4A00-BCDE-D1488F17FD6C}"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78AF0-7CA3-4AD0-B42D-31855CFD7C3C}">
  <dimension ref="A3:K87"/>
  <sheetViews>
    <sheetView zoomScaleNormal="100" workbookViewId="0">
      <selection activeCell="A9" sqref="A9:A10"/>
    </sheetView>
  </sheetViews>
  <sheetFormatPr defaultRowHeight="14.4" x14ac:dyDescent="0.3"/>
  <cols>
    <col min="1" max="1" width="32.44140625" bestFit="1" customWidth="1"/>
    <col min="2" max="2" width="28.109375" bestFit="1" customWidth="1"/>
    <col min="3" max="3" width="15.77734375" customWidth="1"/>
    <col min="4" max="4" width="23.88671875" customWidth="1"/>
    <col min="5" max="5" width="23.88671875" bestFit="1" customWidth="1"/>
    <col min="7" max="7" width="23.6640625" bestFit="1" customWidth="1"/>
    <col min="8" max="8" width="23.88671875" bestFit="1" customWidth="1"/>
    <col min="10" max="10" width="12.5546875" bestFit="1" customWidth="1"/>
    <col min="11" max="11" width="29.21875" bestFit="1" customWidth="1"/>
  </cols>
  <sheetData>
    <row r="3" spans="1:11" x14ac:dyDescent="0.3">
      <c r="A3" t="s">
        <v>1</v>
      </c>
      <c r="D3" t="s">
        <v>6</v>
      </c>
      <c r="G3" t="s">
        <v>7</v>
      </c>
      <c r="J3" t="s">
        <v>7</v>
      </c>
    </row>
    <row r="4" spans="1:11" x14ac:dyDescent="0.3">
      <c r="A4" t="s">
        <v>0</v>
      </c>
      <c r="D4" s="1" t="s">
        <v>4</v>
      </c>
      <c r="E4" t="s">
        <v>0</v>
      </c>
      <c r="G4" s="1" t="s">
        <v>4</v>
      </c>
      <c r="H4" t="s">
        <v>2</v>
      </c>
      <c r="J4" s="1" t="s">
        <v>4</v>
      </c>
      <c r="K4" t="s">
        <v>3</v>
      </c>
    </row>
    <row r="5" spans="1:11" x14ac:dyDescent="0.3">
      <c r="A5" s="14">
        <v>480</v>
      </c>
      <c r="D5" s="4" t="s">
        <v>43</v>
      </c>
      <c r="E5" s="14">
        <v>20</v>
      </c>
      <c r="G5" s="4" t="s">
        <v>43</v>
      </c>
      <c r="H5" s="2">
        <v>31.5</v>
      </c>
      <c r="J5" s="4" t="s">
        <v>43</v>
      </c>
      <c r="K5" s="2">
        <v>5.5</v>
      </c>
    </row>
    <row r="6" spans="1:11" x14ac:dyDescent="0.3">
      <c r="D6" s="4" t="s">
        <v>44</v>
      </c>
      <c r="E6" s="14">
        <v>16</v>
      </c>
      <c r="G6" s="4" t="s">
        <v>44</v>
      </c>
      <c r="H6" s="2">
        <v>34.25</v>
      </c>
      <c r="J6" s="4" t="s">
        <v>44</v>
      </c>
      <c r="K6" s="2">
        <v>3.3333333333333335</v>
      </c>
    </row>
    <row r="7" spans="1:11" x14ac:dyDescent="0.3">
      <c r="D7" s="4" t="s">
        <v>45</v>
      </c>
      <c r="E7" s="14">
        <v>20</v>
      </c>
      <c r="G7" s="4" t="s">
        <v>45</v>
      </c>
      <c r="H7" s="2">
        <v>41.1</v>
      </c>
      <c r="J7" s="4" t="s">
        <v>45</v>
      </c>
      <c r="K7" s="2">
        <v>6</v>
      </c>
    </row>
    <row r="8" spans="1:11" x14ac:dyDescent="0.3">
      <c r="D8" s="4" t="s">
        <v>46</v>
      </c>
      <c r="E8" s="14">
        <v>16</v>
      </c>
      <c r="G8" s="4" t="s">
        <v>46</v>
      </c>
      <c r="H8" s="2">
        <v>31</v>
      </c>
      <c r="J8" s="4" t="s">
        <v>46</v>
      </c>
      <c r="K8" s="2">
        <v>4.8</v>
      </c>
    </row>
    <row r="9" spans="1:11" x14ac:dyDescent="0.3">
      <c r="A9" t="s">
        <v>2</v>
      </c>
      <c r="D9" s="4" t="s">
        <v>47</v>
      </c>
      <c r="E9" s="14">
        <v>18</v>
      </c>
      <c r="G9" s="4" t="s">
        <v>47</v>
      </c>
      <c r="H9" s="2">
        <v>33.666666666666664</v>
      </c>
      <c r="J9" s="4" t="s">
        <v>47</v>
      </c>
      <c r="K9" s="2">
        <v>5.5</v>
      </c>
    </row>
    <row r="10" spans="1:11" x14ac:dyDescent="0.3">
      <c r="A10" s="2">
        <v>34.429166666666667</v>
      </c>
      <c r="D10" s="4" t="s">
        <v>48</v>
      </c>
      <c r="E10" s="14">
        <v>16</v>
      </c>
      <c r="G10" s="4" t="s">
        <v>48</v>
      </c>
      <c r="H10" s="2">
        <v>34.5625</v>
      </c>
      <c r="J10" s="4" t="s">
        <v>48</v>
      </c>
      <c r="K10" s="2">
        <v>5.25</v>
      </c>
    </row>
    <row r="11" spans="1:11" x14ac:dyDescent="0.3">
      <c r="D11" s="4" t="s">
        <v>49</v>
      </c>
      <c r="E11" s="14">
        <v>15</v>
      </c>
      <c r="G11" s="4" t="s">
        <v>49</v>
      </c>
      <c r="H11" s="2">
        <v>34.93333333333333</v>
      </c>
      <c r="J11" s="4" t="s">
        <v>49</v>
      </c>
      <c r="K11" s="2">
        <v>4.8</v>
      </c>
    </row>
    <row r="12" spans="1:11" x14ac:dyDescent="0.3">
      <c r="D12" s="4" t="s">
        <v>50</v>
      </c>
      <c r="E12" s="14">
        <v>20</v>
      </c>
      <c r="G12" s="4" t="s">
        <v>50</v>
      </c>
      <c r="H12" s="2">
        <v>36.4</v>
      </c>
      <c r="J12" s="4" t="s">
        <v>50</v>
      </c>
      <c r="K12" s="2">
        <v>4.5</v>
      </c>
    </row>
    <row r="13" spans="1:11" x14ac:dyDescent="0.3">
      <c r="D13" s="4" t="s">
        <v>51</v>
      </c>
      <c r="E13" s="14">
        <v>20</v>
      </c>
      <c r="G13" s="4" t="s">
        <v>51</v>
      </c>
      <c r="H13" s="2">
        <v>35.549999999999997</v>
      </c>
      <c r="J13" s="4" t="s">
        <v>51</v>
      </c>
      <c r="K13" s="2">
        <v>5</v>
      </c>
    </row>
    <row r="14" spans="1:11" x14ac:dyDescent="0.3">
      <c r="A14" t="s">
        <v>3</v>
      </c>
      <c r="D14" s="4" t="s">
        <v>52</v>
      </c>
      <c r="E14" s="14">
        <v>13</v>
      </c>
      <c r="G14" s="4" t="s">
        <v>52</v>
      </c>
      <c r="H14" s="2">
        <v>30.692307692307693</v>
      </c>
      <c r="J14" s="4" t="s">
        <v>52</v>
      </c>
      <c r="K14" s="2">
        <v>5.333333333333333</v>
      </c>
    </row>
    <row r="15" spans="1:11" x14ac:dyDescent="0.3">
      <c r="A15" s="2">
        <v>5.1640625</v>
      </c>
      <c r="D15" s="4" t="s">
        <v>53</v>
      </c>
      <c r="E15" s="14">
        <v>18</v>
      </c>
      <c r="G15" s="4" t="s">
        <v>53</v>
      </c>
      <c r="H15" s="2">
        <v>33.611111111111114</v>
      </c>
      <c r="J15" s="4" t="s">
        <v>53</v>
      </c>
      <c r="K15" s="2">
        <v>4.4000000000000004</v>
      </c>
    </row>
    <row r="16" spans="1:11" x14ac:dyDescent="0.3">
      <c r="D16" s="4" t="s">
        <v>54</v>
      </c>
      <c r="E16" s="14">
        <v>11</v>
      </c>
      <c r="G16" s="4" t="s">
        <v>54</v>
      </c>
      <c r="H16" s="2">
        <v>37.81818181818182</v>
      </c>
      <c r="J16" s="4" t="s">
        <v>54</v>
      </c>
      <c r="K16" s="2">
        <v>3.25</v>
      </c>
    </row>
    <row r="17" spans="1:11" x14ac:dyDescent="0.3">
      <c r="D17" s="4" t="s">
        <v>55</v>
      </c>
      <c r="E17" s="14">
        <v>13</v>
      </c>
      <c r="G17" s="4" t="s">
        <v>55</v>
      </c>
      <c r="H17" s="2">
        <v>40</v>
      </c>
      <c r="J17" s="4" t="s">
        <v>55</v>
      </c>
      <c r="K17" s="2">
        <v>6</v>
      </c>
    </row>
    <row r="18" spans="1:11" x14ac:dyDescent="0.3">
      <c r="D18" s="4" t="s">
        <v>56</v>
      </c>
      <c r="E18" s="14">
        <v>14</v>
      </c>
      <c r="G18" s="4" t="s">
        <v>56</v>
      </c>
      <c r="H18" s="2">
        <v>32</v>
      </c>
      <c r="J18" s="4" t="s">
        <v>56</v>
      </c>
      <c r="K18" s="2">
        <v>3.3333333333333335</v>
      </c>
    </row>
    <row r="19" spans="1:11" x14ac:dyDescent="0.3">
      <c r="D19" s="4" t="s">
        <v>57</v>
      </c>
      <c r="E19" s="14">
        <v>7</v>
      </c>
      <c r="G19" s="4" t="s">
        <v>57</v>
      </c>
      <c r="H19" s="2">
        <v>31.857142857142858</v>
      </c>
      <c r="J19" s="4" t="s">
        <v>58</v>
      </c>
      <c r="K19" s="2">
        <v>6.7</v>
      </c>
    </row>
    <row r="20" spans="1:11" x14ac:dyDescent="0.3">
      <c r="A20" s="1" t="s">
        <v>4</v>
      </c>
      <c r="B20" t="s">
        <v>10</v>
      </c>
      <c r="C20" t="s">
        <v>11</v>
      </c>
      <c r="D20" s="4" t="s">
        <v>58</v>
      </c>
      <c r="E20" s="14">
        <v>21</v>
      </c>
      <c r="G20" s="4" t="s">
        <v>58</v>
      </c>
      <c r="H20" s="2">
        <v>31.142857142857142</v>
      </c>
      <c r="J20" s="4" t="s">
        <v>59</v>
      </c>
      <c r="K20" s="2">
        <v>7.75</v>
      </c>
    </row>
    <row r="21" spans="1:11" x14ac:dyDescent="0.3">
      <c r="A21" s="4" t="s">
        <v>8</v>
      </c>
      <c r="B21" s="2">
        <v>229</v>
      </c>
      <c r="C21" s="7">
        <v>0.47708333333333336</v>
      </c>
      <c r="D21" s="4" t="s">
        <v>59</v>
      </c>
      <c r="E21" s="14">
        <v>16</v>
      </c>
      <c r="G21" s="4" t="s">
        <v>59</v>
      </c>
      <c r="H21" s="2">
        <v>29.5</v>
      </c>
      <c r="J21" s="4" t="s">
        <v>60</v>
      </c>
      <c r="K21" s="2">
        <v>5.5</v>
      </c>
    </row>
    <row r="22" spans="1:11" x14ac:dyDescent="0.3">
      <c r="A22" s="4" t="s">
        <v>9</v>
      </c>
      <c r="B22" s="2">
        <v>251</v>
      </c>
      <c r="C22" s="7">
        <v>0.5229166666666667</v>
      </c>
      <c r="D22" s="4" t="s">
        <v>60</v>
      </c>
      <c r="E22" s="14">
        <v>15</v>
      </c>
      <c r="G22" s="4" t="s">
        <v>60</v>
      </c>
      <c r="H22" s="2">
        <v>30.666666666666668</v>
      </c>
      <c r="J22" s="4" t="s">
        <v>61</v>
      </c>
      <c r="K22" s="2">
        <v>4.5</v>
      </c>
    </row>
    <row r="23" spans="1:11" x14ac:dyDescent="0.3">
      <c r="A23" s="4" t="s">
        <v>5</v>
      </c>
      <c r="B23" s="2">
        <v>480</v>
      </c>
      <c r="C23" s="7">
        <v>1</v>
      </c>
      <c r="D23" s="4" t="s">
        <v>61</v>
      </c>
      <c r="E23" s="14">
        <v>15</v>
      </c>
      <c r="G23" s="4" t="s">
        <v>61</v>
      </c>
      <c r="H23" s="2">
        <v>39.06666666666667</v>
      </c>
      <c r="J23" s="4" t="s">
        <v>62</v>
      </c>
      <c r="K23" s="2">
        <v>6</v>
      </c>
    </row>
    <row r="24" spans="1:11" x14ac:dyDescent="0.3">
      <c r="D24" s="4" t="s">
        <v>62</v>
      </c>
      <c r="E24" s="14">
        <v>14</v>
      </c>
      <c r="G24" s="4" t="s">
        <v>62</v>
      </c>
      <c r="H24" s="2">
        <v>32.857142857142854</v>
      </c>
      <c r="J24" s="4" t="s">
        <v>63</v>
      </c>
      <c r="K24" s="2">
        <v>5.75</v>
      </c>
    </row>
    <row r="25" spans="1:11" x14ac:dyDescent="0.3">
      <c r="D25" s="4" t="s">
        <v>63</v>
      </c>
      <c r="E25" s="14">
        <v>16</v>
      </c>
      <c r="G25" s="4" t="s">
        <v>63</v>
      </c>
      <c r="H25" s="2">
        <v>38.3125</v>
      </c>
      <c r="J25" s="4" t="s">
        <v>64</v>
      </c>
      <c r="K25" s="2">
        <v>3.1428571428571428</v>
      </c>
    </row>
    <row r="26" spans="1:11" x14ac:dyDescent="0.3">
      <c r="D26" s="4" t="s">
        <v>64</v>
      </c>
      <c r="E26" s="14">
        <v>21</v>
      </c>
      <c r="G26" s="4" t="s">
        <v>64</v>
      </c>
      <c r="H26" s="2">
        <v>35.80952380952381</v>
      </c>
      <c r="J26" s="4" t="s">
        <v>65</v>
      </c>
      <c r="K26" s="2">
        <v>4</v>
      </c>
    </row>
    <row r="27" spans="1:11" x14ac:dyDescent="0.3">
      <c r="D27" s="4" t="s">
        <v>65</v>
      </c>
      <c r="E27" s="14">
        <v>13</v>
      </c>
      <c r="G27" s="4" t="s">
        <v>65</v>
      </c>
      <c r="H27" s="2">
        <v>33.153846153846153</v>
      </c>
      <c r="J27" s="4" t="s">
        <v>66</v>
      </c>
      <c r="K27" s="2">
        <v>6.5</v>
      </c>
    </row>
    <row r="28" spans="1:11" x14ac:dyDescent="0.3">
      <c r="D28" s="4" t="s">
        <v>66</v>
      </c>
      <c r="E28" s="14">
        <v>11</v>
      </c>
      <c r="G28" s="4" t="s">
        <v>66</v>
      </c>
      <c r="H28" s="2">
        <v>39.18181818181818</v>
      </c>
      <c r="J28" s="4" t="s">
        <v>67</v>
      </c>
      <c r="K28" s="2">
        <v>4</v>
      </c>
    </row>
    <row r="29" spans="1:11" x14ac:dyDescent="0.3">
      <c r="D29" s="4" t="s">
        <v>67</v>
      </c>
      <c r="E29" s="14">
        <v>16</v>
      </c>
      <c r="G29" s="4" t="s">
        <v>67</v>
      </c>
      <c r="H29" s="2">
        <v>36.3125</v>
      </c>
      <c r="J29" s="4" t="s">
        <v>68</v>
      </c>
      <c r="K29" s="2">
        <v>7.333333333333333</v>
      </c>
    </row>
    <row r="30" spans="1:11" x14ac:dyDescent="0.3">
      <c r="D30" s="4" t="s">
        <v>68</v>
      </c>
      <c r="E30" s="14">
        <v>11</v>
      </c>
      <c r="G30" s="4" t="s">
        <v>68</v>
      </c>
      <c r="H30" s="2">
        <v>33</v>
      </c>
      <c r="J30" s="4" t="s">
        <v>69</v>
      </c>
      <c r="K30" s="2">
        <v>5.333333333333333</v>
      </c>
    </row>
    <row r="31" spans="1:11" x14ac:dyDescent="0.3">
      <c r="D31" s="4" t="s">
        <v>69</v>
      </c>
      <c r="E31" s="14">
        <v>14</v>
      </c>
      <c r="G31" s="4" t="s">
        <v>69</v>
      </c>
      <c r="H31" s="2">
        <v>32.857142857142854</v>
      </c>
      <c r="J31" s="4" t="s">
        <v>70</v>
      </c>
      <c r="K31" s="2">
        <v>4.75</v>
      </c>
    </row>
    <row r="32" spans="1:11" x14ac:dyDescent="0.3">
      <c r="D32" s="4" t="s">
        <v>70</v>
      </c>
      <c r="E32" s="14">
        <v>10</v>
      </c>
      <c r="G32" s="4" t="s">
        <v>70</v>
      </c>
      <c r="H32" s="2">
        <v>36.799999999999997</v>
      </c>
      <c r="J32" s="4" t="s">
        <v>71</v>
      </c>
      <c r="K32" s="2">
        <v>4</v>
      </c>
    </row>
    <row r="33" spans="1:11" x14ac:dyDescent="0.3">
      <c r="D33" s="4" t="s">
        <v>71</v>
      </c>
      <c r="E33" s="14">
        <v>15</v>
      </c>
      <c r="G33" s="4" t="s">
        <v>71</v>
      </c>
      <c r="H33" s="2">
        <v>32.866666666666667</v>
      </c>
      <c r="J33" s="4" t="s">
        <v>72</v>
      </c>
      <c r="K33" s="2">
        <v>4</v>
      </c>
    </row>
    <row r="34" spans="1:11" x14ac:dyDescent="0.3">
      <c r="D34" s="4" t="s">
        <v>72</v>
      </c>
      <c r="E34" s="14">
        <v>24</v>
      </c>
      <c r="G34" s="4" t="s">
        <v>72</v>
      </c>
      <c r="H34" s="2">
        <v>32.375</v>
      </c>
      <c r="J34" s="4" t="s">
        <v>73</v>
      </c>
      <c r="K34" s="2">
        <v>8.3333333333333339</v>
      </c>
    </row>
    <row r="35" spans="1:11" x14ac:dyDescent="0.3">
      <c r="D35" s="4" t="s">
        <v>73</v>
      </c>
      <c r="E35" s="14">
        <v>11</v>
      </c>
      <c r="G35" s="4" t="s">
        <v>73</v>
      </c>
      <c r="H35" s="2">
        <v>36</v>
      </c>
      <c r="J35" s="4" t="s">
        <v>5</v>
      </c>
      <c r="K35" s="2">
        <v>5.1640625</v>
      </c>
    </row>
    <row r="36" spans="1:11" x14ac:dyDescent="0.3">
      <c r="D36" s="4" t="s">
        <v>5</v>
      </c>
      <c r="E36" s="14">
        <v>480</v>
      </c>
      <c r="G36" s="4" t="s">
        <v>5</v>
      </c>
      <c r="H36" s="2">
        <v>34.429166666666667</v>
      </c>
    </row>
    <row r="39" spans="1:11" x14ac:dyDescent="0.3">
      <c r="A39" s="10" t="s">
        <v>12</v>
      </c>
      <c r="B39" s="10" t="s">
        <v>1</v>
      </c>
      <c r="C39" s="10" t="s">
        <v>13</v>
      </c>
      <c r="D39" s="8"/>
    </row>
    <row r="40" spans="1:11" x14ac:dyDescent="0.3">
      <c r="A40" s="11" t="str">
        <f>A22</f>
        <v>Not Admitted</v>
      </c>
      <c r="B40" s="12">
        <f>B22</f>
        <v>251</v>
      </c>
      <c r="C40" s="13">
        <f>C22</f>
        <v>0.5229166666666667</v>
      </c>
      <c r="D40" s="9"/>
    </row>
    <row r="41" spans="1:11" x14ac:dyDescent="0.3">
      <c r="A41" s="11" t="str">
        <f>A21</f>
        <v>Admitted</v>
      </c>
      <c r="B41" s="12">
        <f>B21</f>
        <v>229</v>
      </c>
      <c r="C41" s="13">
        <f>C21</f>
        <v>0.47708333333333336</v>
      </c>
      <c r="D41" s="9"/>
    </row>
    <row r="42" spans="1:11" x14ac:dyDescent="0.3">
      <c r="A42" t="s">
        <v>23</v>
      </c>
    </row>
    <row r="43" spans="1:11" x14ac:dyDescent="0.3">
      <c r="A43" s="1" t="s">
        <v>4</v>
      </c>
      <c r="B43" t="s">
        <v>22</v>
      </c>
    </row>
    <row r="44" spans="1:11" x14ac:dyDescent="0.3">
      <c r="A44" s="4" t="s">
        <v>14</v>
      </c>
      <c r="B44" s="2">
        <v>63</v>
      </c>
    </row>
    <row r="45" spans="1:11" x14ac:dyDescent="0.3">
      <c r="A45" s="4" t="s">
        <v>15</v>
      </c>
      <c r="B45" s="2">
        <v>49</v>
      </c>
    </row>
    <row r="46" spans="1:11" x14ac:dyDescent="0.3">
      <c r="A46" s="4" t="s">
        <v>16</v>
      </c>
      <c r="B46" s="2">
        <v>57</v>
      </c>
    </row>
    <row r="47" spans="1:11" x14ac:dyDescent="0.3">
      <c r="A47" s="4" t="s">
        <v>17</v>
      </c>
      <c r="B47" s="2">
        <v>73</v>
      </c>
    </row>
    <row r="48" spans="1:11" x14ac:dyDescent="0.3">
      <c r="A48" s="4" t="s">
        <v>18</v>
      </c>
      <c r="B48" s="2">
        <v>63</v>
      </c>
    </row>
    <row r="49" spans="1:2" x14ac:dyDescent="0.3">
      <c r="A49" s="4" t="s">
        <v>19</v>
      </c>
      <c r="B49" s="2">
        <v>60</v>
      </c>
    </row>
    <row r="50" spans="1:2" x14ac:dyDescent="0.3">
      <c r="A50" s="4" t="s">
        <v>20</v>
      </c>
      <c r="B50" s="2">
        <v>57</v>
      </c>
    </row>
    <row r="51" spans="1:2" x14ac:dyDescent="0.3">
      <c r="A51" s="4" t="s">
        <v>21</v>
      </c>
      <c r="B51" s="2">
        <v>58</v>
      </c>
    </row>
    <row r="52" spans="1:2" x14ac:dyDescent="0.3">
      <c r="A52" s="4" t="s">
        <v>5</v>
      </c>
      <c r="B52" s="2">
        <v>480</v>
      </c>
    </row>
    <row r="55" spans="1:2" x14ac:dyDescent="0.3">
      <c r="A55" s="4" t="s">
        <v>27</v>
      </c>
    </row>
    <row r="56" spans="1:2" x14ac:dyDescent="0.3">
      <c r="A56" s="1" t="s">
        <v>4</v>
      </c>
      <c r="B56" t="s">
        <v>26</v>
      </c>
    </row>
    <row r="57" spans="1:2" x14ac:dyDescent="0.3">
      <c r="A57" s="4" t="s">
        <v>24</v>
      </c>
      <c r="B57" s="2">
        <v>267</v>
      </c>
    </row>
    <row r="58" spans="1:2" x14ac:dyDescent="0.3">
      <c r="A58" s="4" t="s">
        <v>25</v>
      </c>
      <c r="B58" s="2">
        <v>213</v>
      </c>
    </row>
    <row r="59" spans="1:2" x14ac:dyDescent="0.3">
      <c r="A59" s="4" t="s">
        <v>5</v>
      </c>
      <c r="B59" s="2">
        <v>480</v>
      </c>
    </row>
    <row r="63" spans="1:2" x14ac:dyDescent="0.3">
      <c r="A63" t="s">
        <v>31</v>
      </c>
    </row>
    <row r="64" spans="1:2" x14ac:dyDescent="0.3">
      <c r="A64" s="1" t="s">
        <v>4</v>
      </c>
      <c r="B64" t="s">
        <v>30</v>
      </c>
    </row>
    <row r="65" spans="1:2" x14ac:dyDescent="0.3">
      <c r="A65" s="4" t="s">
        <v>28</v>
      </c>
      <c r="B65" s="2">
        <v>261</v>
      </c>
    </row>
    <row r="66" spans="1:2" x14ac:dyDescent="0.3">
      <c r="A66" s="4" t="s">
        <v>29</v>
      </c>
      <c r="B66" s="2">
        <v>219</v>
      </c>
    </row>
    <row r="67" spans="1:2" x14ac:dyDescent="0.3">
      <c r="A67" s="4" t="s">
        <v>5</v>
      </c>
      <c r="B67" s="2">
        <v>480</v>
      </c>
    </row>
    <row r="70" spans="1:2" x14ac:dyDescent="0.3">
      <c r="A70" s="4" t="s">
        <v>41</v>
      </c>
    </row>
    <row r="71" spans="1:2" x14ac:dyDescent="0.3">
      <c r="A71" s="1" t="s">
        <v>4</v>
      </c>
      <c r="B71" t="s">
        <v>40</v>
      </c>
    </row>
    <row r="72" spans="1:2" x14ac:dyDescent="0.3">
      <c r="A72" s="4" t="s">
        <v>39</v>
      </c>
      <c r="B72" s="2">
        <v>6</v>
      </c>
    </row>
    <row r="73" spans="1:2" x14ac:dyDescent="0.3">
      <c r="A73" s="4" t="s">
        <v>35</v>
      </c>
      <c r="B73" s="2">
        <v>11</v>
      </c>
    </row>
    <row r="74" spans="1:2" x14ac:dyDescent="0.3">
      <c r="A74" s="4" t="s">
        <v>32</v>
      </c>
      <c r="B74" s="2">
        <v>12</v>
      </c>
    </row>
    <row r="75" spans="1:2" x14ac:dyDescent="0.3">
      <c r="A75" s="4" t="s">
        <v>33</v>
      </c>
      <c r="B75" s="2">
        <v>12</v>
      </c>
    </row>
    <row r="76" spans="1:2" x14ac:dyDescent="0.3">
      <c r="A76" s="4" t="s">
        <v>38</v>
      </c>
      <c r="B76" s="2">
        <v>20</v>
      </c>
    </row>
    <row r="77" spans="1:2" x14ac:dyDescent="0.3">
      <c r="A77" s="4" t="s">
        <v>37</v>
      </c>
      <c r="B77" s="2">
        <v>35</v>
      </c>
    </row>
    <row r="78" spans="1:2" x14ac:dyDescent="0.3">
      <c r="A78" s="4" t="s">
        <v>34</v>
      </c>
      <c r="B78" s="2">
        <v>93</v>
      </c>
    </row>
    <row r="79" spans="1:2" x14ac:dyDescent="0.3">
      <c r="A79" s="4" t="s">
        <v>36</v>
      </c>
      <c r="B79" s="2">
        <v>291</v>
      </c>
    </row>
    <row r="80" spans="1:2" x14ac:dyDescent="0.3">
      <c r="A80" s="4" t="s">
        <v>5</v>
      </c>
      <c r="B80" s="2">
        <v>480</v>
      </c>
    </row>
    <row r="85" spans="1:1" x14ac:dyDescent="0.3">
      <c r="A85" s="1" t="s">
        <v>4</v>
      </c>
    </row>
    <row r="86" spans="1:1" x14ac:dyDescent="0.3">
      <c r="A86" s="4" t="s">
        <v>42</v>
      </c>
    </row>
    <row r="87" spans="1:1" x14ac:dyDescent="0.3">
      <c r="A87"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0BBB-5771-4176-ABF5-A7B3AC4CB89B}">
  <dimension ref="A5:N25"/>
  <sheetViews>
    <sheetView tabSelected="1" topLeftCell="A6" zoomScale="160" zoomScaleNormal="160" workbookViewId="0"/>
  </sheetViews>
  <sheetFormatPr defaultRowHeight="14.4" x14ac:dyDescent="0.3"/>
  <sheetData>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x14ac:dyDescent="0.3">
      <c r="A22" s="3"/>
      <c r="B22" s="3"/>
      <c r="C22" s="3"/>
      <c r="D22" s="3"/>
      <c r="E22" s="3"/>
      <c r="F22" s="3"/>
      <c r="G22" s="3"/>
      <c r="H22" s="3"/>
      <c r="I22" s="3"/>
      <c r="J22" s="3"/>
      <c r="K22" s="3"/>
      <c r="L22" s="3"/>
      <c r="M22" s="3"/>
      <c r="N22" s="3"/>
    </row>
    <row r="23" spans="1:14" x14ac:dyDescent="0.3">
      <c r="A23" s="3"/>
      <c r="B23" s="3"/>
      <c r="C23" s="3"/>
      <c r="D23" s="3"/>
      <c r="E23" s="3"/>
      <c r="F23" s="3"/>
      <c r="G23" s="3"/>
      <c r="H23" s="3"/>
      <c r="I23" s="3"/>
      <c r="J23" s="3"/>
      <c r="K23" s="3"/>
      <c r="L23" s="3"/>
      <c r="M23" s="3"/>
      <c r="N23" s="3"/>
    </row>
    <row r="24" spans="1:14" x14ac:dyDescent="0.3">
      <c r="A24" s="3"/>
      <c r="B24" s="3"/>
      <c r="C24" s="3"/>
      <c r="D24" s="3"/>
      <c r="E24" s="3"/>
      <c r="F24" s="3"/>
      <c r="G24" s="3"/>
      <c r="H24" s="3"/>
      <c r="I24" s="3"/>
      <c r="J24" s="3"/>
      <c r="K24" s="3"/>
      <c r="L24" s="3"/>
      <c r="M24" s="3"/>
      <c r="N24" s="3"/>
    </row>
    <row r="25" spans="1:14" x14ac:dyDescent="0.3">
      <c r="A25" s="3"/>
      <c r="B25" s="3"/>
      <c r="C25" s="3"/>
      <c r="D25" s="3"/>
      <c r="E25" s="3"/>
      <c r="F25" s="3"/>
      <c r="G25" s="3"/>
      <c r="H25" s="3"/>
      <c r="I25" s="3"/>
      <c r="J25" s="3"/>
      <c r="K25" s="3"/>
      <c r="L25" s="3"/>
      <c r="M25" s="3"/>
      <c r="N25"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0434-EB24-45FB-AC56-26ECF3137589}">
  <dimension ref="A1:X28"/>
  <sheetViews>
    <sheetView workbookViewId="0"/>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384A-C11D-44B0-A0A9-A4733779EF75}">
  <dimension ref="A1"/>
  <sheetViews>
    <sheetView zoomScale="148" zoomScaleNormal="148" workbookViewId="0"/>
  </sheetViews>
  <sheetFormatPr defaultRowHeight="14.4" x14ac:dyDescent="0.3"/>
  <cols>
    <col min="1" max="16384" width="8.8867187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4D83-E88F-4DF7-A2FE-48935DD24DB8}">
  <dimension ref="A1"/>
  <sheetViews>
    <sheetView zoomScale="130" zoomScaleNormal="130" workbookViewId="0"/>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A2AFAE5-4E5A-4B59-A64C-852EE25C17DD}">
  <ds:schemaRefs/>
</ds:datastoreItem>
</file>

<file path=customXml/itemProps2.xml><?xml version="1.0" encoding="utf-8"?>
<ds:datastoreItem xmlns:ds="http://schemas.openxmlformats.org/officeDocument/2006/customXml" ds:itemID="{9189E211-6A81-4B00-92D2-9119670DFF57}">
  <ds:schemaRefs/>
</ds:datastoreItem>
</file>

<file path=customXml/itemProps3.xml><?xml version="1.0" encoding="utf-8"?>
<ds:datastoreItem xmlns:ds="http://schemas.openxmlformats.org/officeDocument/2006/customXml" ds:itemID="{F263CA73-AC50-4CD5-AD0A-08E6D16648B0}">
  <ds:schemaRefs/>
</ds:datastoreItem>
</file>

<file path=customXml/itemProps4.xml><?xml version="1.0" encoding="utf-8"?>
<ds:datastoreItem xmlns:ds="http://schemas.openxmlformats.org/officeDocument/2006/customXml" ds:itemID="{0C6E4192-BCD3-4ADA-A206-7657829D4F50}">
  <ds:schemaRefs/>
</ds:datastoreItem>
</file>

<file path=customXml/itemProps5.xml><?xml version="1.0" encoding="utf-8"?>
<ds:datastoreItem xmlns:ds="http://schemas.openxmlformats.org/officeDocument/2006/customXml" ds:itemID="{E85B0F20-608D-4F98-A836-258757776B48}">
  <ds:schemaRefs/>
</ds:datastoreItem>
</file>

<file path=customXml/itemProps6.xml><?xml version="1.0" encoding="utf-8"?>
<ds:datastoreItem xmlns:ds="http://schemas.openxmlformats.org/officeDocument/2006/customXml" ds:itemID="{2AC8E97B-FC56-4275-BF39-B4798D39C4A6}">
  <ds:schemaRefs/>
</ds:datastoreItem>
</file>

<file path=customXml/itemProps7.xml><?xml version="1.0" encoding="utf-8"?>
<ds:datastoreItem xmlns:ds="http://schemas.openxmlformats.org/officeDocument/2006/customXml" ds:itemID="{115F982E-AC5D-4E3A-8D14-DC08D55BA4A3}">
  <ds:schemaRefs/>
</ds:datastoreItem>
</file>

<file path=customXml/itemProps8.xml><?xml version="1.0" encoding="utf-8"?>
<ds:datastoreItem xmlns:ds="http://schemas.openxmlformats.org/officeDocument/2006/customXml" ds:itemID="{BA47E8DF-8E45-4A5D-B022-5BEA4C0E0C94}">
  <ds:schemaRefs/>
</ds:datastoreItem>
</file>

<file path=customXml/itemProps9.xml><?xml version="1.0" encoding="utf-8"?>
<ds:datastoreItem xmlns:ds="http://schemas.openxmlformats.org/officeDocument/2006/customXml" ds:itemID="{9F764AE3-6B1F-4E3D-A51C-BB0F33501D43}">
  <ds:schemaRefs>
    <ds:schemaRef ds:uri="http://schemas.microsoft.com/DataMashup"/>
  </ds:schemaRefs>
</ds:datastoreItem>
</file>

<file path=customXml/itemProps10.xml><?xml version="1.0" encoding="utf-8"?>
<ds:datastoreItem xmlns:ds="http://schemas.openxmlformats.org/officeDocument/2006/customXml" ds:itemID="{1C36E951-35D1-4230-BD4B-55B574201808}">
  <ds:schemaRefs/>
</ds:datastoreItem>
</file>

<file path=customXml/itemProps11.xml><?xml version="1.0" encoding="utf-8"?>
<ds:datastoreItem xmlns:ds="http://schemas.openxmlformats.org/officeDocument/2006/customXml" ds:itemID="{B2BA0C01-6C30-432A-91CE-27018BBDE661}">
  <ds:schemaRefs/>
</ds:datastoreItem>
</file>

<file path=customXml/itemProps12.xml><?xml version="1.0" encoding="utf-8"?>
<ds:datastoreItem xmlns:ds="http://schemas.openxmlformats.org/officeDocument/2006/customXml" ds:itemID="{BDED1C1C-4970-47E0-BF9D-AE1473B77530}">
  <ds:schemaRefs/>
</ds:datastoreItem>
</file>

<file path=customXml/itemProps13.xml><?xml version="1.0" encoding="utf-8"?>
<ds:datastoreItem xmlns:ds="http://schemas.openxmlformats.org/officeDocument/2006/customXml" ds:itemID="{878DA7B9-AA7A-40D1-B23E-0B02474042BE}">
  <ds:schemaRefs/>
</ds:datastoreItem>
</file>

<file path=customXml/itemProps14.xml><?xml version="1.0" encoding="utf-8"?>
<ds:datastoreItem xmlns:ds="http://schemas.openxmlformats.org/officeDocument/2006/customXml" ds:itemID="{637993E1-A76F-4985-887D-FC5347530DAF}">
  <ds:schemaRefs/>
</ds:datastoreItem>
</file>

<file path=customXml/itemProps15.xml><?xml version="1.0" encoding="utf-8"?>
<ds:datastoreItem xmlns:ds="http://schemas.openxmlformats.org/officeDocument/2006/customXml" ds:itemID="{32EDFAF8-956A-4D17-B1D9-10842ECDE53C}">
  <ds:schemaRefs/>
</ds:datastoreItem>
</file>

<file path=customXml/itemProps16.xml><?xml version="1.0" encoding="utf-8"?>
<ds:datastoreItem xmlns:ds="http://schemas.openxmlformats.org/officeDocument/2006/customXml" ds:itemID="{B6BFC2C3-8C02-4CC5-A298-6E11988D0F26}">
  <ds:schemaRefs/>
</ds:datastoreItem>
</file>

<file path=customXml/itemProps17.xml><?xml version="1.0" encoding="utf-8"?>
<ds:datastoreItem xmlns:ds="http://schemas.openxmlformats.org/officeDocument/2006/customXml" ds:itemID="{3D544E58-A87A-47B1-A2BB-906167D05BF9}">
  <ds:schemaRefs/>
</ds:datastoreItem>
</file>

<file path=customXml/itemProps18.xml><?xml version="1.0" encoding="utf-8"?>
<ds:datastoreItem xmlns:ds="http://schemas.openxmlformats.org/officeDocument/2006/customXml" ds:itemID="{63DA77DD-67E8-42F9-8731-80EFD4980B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Satisfactory Avg chart</vt:lpstr>
      <vt:lpstr>Daily avg wait time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abinash mohapatra</dc:creator>
  <cp:lastModifiedBy>abinash mohapatra</cp:lastModifiedBy>
  <dcterms:created xsi:type="dcterms:W3CDTF">2025-10-17T05:25:15Z</dcterms:created>
  <dcterms:modified xsi:type="dcterms:W3CDTF">2025-11-09T07:17:45Z</dcterms:modified>
</cp:coreProperties>
</file>